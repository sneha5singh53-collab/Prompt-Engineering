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worksheets/sheet6.xml" ContentType="application/vnd.openxmlformats-officedocument.spreadsheetml.worksheet+xml"/>
  <Override PartName="/xl/tables/table4.xml" ContentType="application/vnd.openxmlformats-officedocument.spreadsheetml.table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xmlns:r="http://schemas.openxmlformats.org/officeDocument/2006/relationships" name="HOW TO USE" sheetId="1" state="visible" r:id="rId1"/>
    <sheet xmlns:r="http://schemas.openxmlformats.org/officeDocument/2006/relationships" name="DASHBOARD" sheetId="2" state="visible" r:id="rId2"/>
    <sheet xmlns:r="http://schemas.openxmlformats.org/officeDocument/2006/relationships" name="UPDATE STATS" sheetId="3" state="visible" r:id="rId3"/>
    <sheet xmlns:r="http://schemas.openxmlformats.org/officeDocument/2006/relationships" name="CAMPAIGNS" sheetId="4" state="visible" r:id="rId4"/>
    <sheet xmlns:r="http://schemas.openxmlformats.org/officeDocument/2006/relationships" name="PROGRAM STATUS" sheetId="5" state="visible" r:id="rId5"/>
    <sheet xmlns:r="http://schemas.openxmlformats.org/officeDocument/2006/relationships" name="CLIENTS" sheetId="6" state="visible" r:id="rId6"/>
    <sheet xmlns:r="http://schemas.openxmlformats.org/officeDocument/2006/relationships" name="LISTS" sheetId="7" state="visible" r:id="rId7"/>
  </sheets>
  <definedNames>
    <definedName name="lst_Team">OFFSET(LISTS!$A$5,0,0,MAX(1,COUNTA(LISTS!$A$5:$A$24)),1)</definedName>
    <definedName name="lst_Channel">OFFSET(LISTS!$C$5,0,0,MAX(1,COUNTA(LISTS!$C$5:$C$34)),1)</definedName>
    <definedName name="lst_CStatus">OFFSET(LISTS!$D$5,0,0,MAX(1,COUNTA(LISTS!$D$5:$D$14)),1)</definedName>
    <definedName name="lst_PStatus">OFFSET(LISTS!$E$5,0,0,MAX(1,COUNTA(LISTS!$E$5:$E$14)),1)</definedName>
    <definedName name="lst_AStatus">OFFSET(LISTS!$F$5,0,0,MAX(1,COUNTA(LISTS!$F$5:$F$14)),1)</definedName>
    <definedName name="lst_FMonth">OFFSET(LISTS!$G$5,0,0,37,1)</definedName>
    <definedName name="lst_FClient">OFFSET(LISTS!$H$5,0,0,MAX(1,COUNTIF(LISTS!$H$5:$H$45,"?*")),1)</definedName>
    <definedName name="lst_Client">OFFSET(CLIENTS!$A$5,0,0,MAX(1,COUNTA(CLIENTS!$A$5:$A$44)),1)</definedName>
    <definedName name="lst_Campaign">OFFSET(CAMPAIGNS!$B$5,0,0,MAX(1,COUNTA(CAMPAIGNS!$B$5:$B$104)),1)</definedName>
    <definedName name="fMonth">DASHBOARD!$B$5</definedName>
    <definedName name="fClient">DASHBOARD!$E$5</definedName>
    <definedName name="ReportDate">DASHBOARD!$H$5</definedName>
    <definedName name="mCrit">DASHBOARD!$L$4</definedName>
    <definedName name="cCrit">DASHBOARD!$L$5</definedName>
    <definedName name="_xlnm.Print_Titles" localSheetId="2">'UPDATE STATS'!$4:$4</definedName>
    <definedName name="_xlnm.Print_Titles" localSheetId="3">'CAMPAIGNS'!$4:$4</definedName>
    <definedName name="_xlnm.Print_Titles" localSheetId="4">'PROGRAM STATUS'!$4:$4</definedName>
    <definedName name="_xlnm.Print_Titles" localSheetId="5">'CLIENTS'!$4:$4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dd-mmm-yy"/>
    <numFmt numFmtId="165" formatCode="0.0%"/>
    <numFmt numFmtId="166" formatCode="dd-mmm-yyyy"/>
  </numFmts>
  <fonts count="22">
    <font>
      <name val="Calibri"/>
      <family val="2"/>
      <color theme="1"/>
      <sz val="11"/>
      <scheme val="minor"/>
    </font>
    <font>
      <name val="Arial"/>
      <b val="1"/>
      <color rgb="00FFFFFF"/>
      <sz val="15"/>
    </font>
    <font>
      <name val="Arial"/>
      <i val="1"/>
      <color rgb="00595959"/>
      <sz val="9"/>
    </font>
    <font>
      <name val="Arial"/>
      <b val="1"/>
      <color rgb="00FFFFFF"/>
      <sz val="10"/>
    </font>
    <font>
      <name val="Arial"/>
      <color rgb="001F3C88"/>
      <sz val="10"/>
    </font>
    <font>
      <name val="Arial"/>
      <i val="1"/>
      <color rgb="007F7F7F"/>
      <sz val="9"/>
    </font>
    <font>
      <name val="Arial"/>
      <color rgb="00000000"/>
      <sz val="10"/>
    </font>
    <font>
      <name val="Arial"/>
      <b val="1"/>
      <color rgb="00FFFFFF"/>
      <sz val="18"/>
    </font>
    <font>
      <name val="Arial"/>
      <b val="1"/>
      <color rgb="00595959"/>
      <sz val="9"/>
    </font>
    <font>
      <name val="Arial"/>
      <b val="1"/>
      <color rgb="001F3C88"/>
      <sz val="12"/>
    </font>
    <font>
      <name val="Arial"/>
      <color rgb="00FFFFFF"/>
      <sz val="8"/>
    </font>
    <font>
      <name val="Arial"/>
      <b val="1"/>
      <color rgb="00FFFFFF"/>
      <sz val="11"/>
    </font>
    <font>
      <name val="Arial"/>
      <b val="1"/>
      <color rgb="001F3864"/>
      <sz val="20"/>
    </font>
    <font>
      <name val="Arial"/>
      <b val="1"/>
      <color rgb="00C55A11"/>
      <sz val="20"/>
    </font>
    <font>
      <name val="Arial"/>
      <b val="1"/>
      <color rgb="00C00000"/>
      <sz val="20"/>
    </font>
    <font>
      <name val="Arial"/>
      <b val="1"/>
      <color rgb="00375623"/>
      <sz val="20"/>
    </font>
    <font>
      <name val="Arial"/>
      <b val="1"/>
      <color rgb="00FFFFFF"/>
      <sz val="9"/>
    </font>
    <font>
      <name val="Arial"/>
      <color rgb="00000000"/>
      <sz val="9"/>
    </font>
    <font>
      <name val="Arial"/>
      <b val="1"/>
      <color rgb="00000000"/>
      <sz val="10"/>
    </font>
    <font>
      <name val="Arial"/>
      <b val="1"/>
      <color rgb="00000000"/>
      <sz val="9"/>
    </font>
    <font>
      <name val="Arial"/>
      <b val="1"/>
      <color rgb="001F3864"/>
      <sz val="11"/>
    </font>
    <font>
      <name val="Arial"/>
      <color rgb="00000000"/>
      <sz val="11"/>
    </font>
  </fonts>
  <fills count="10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DDEBF7"/>
        <bgColor rgb="00DDEBF7"/>
      </patternFill>
    </fill>
    <fill>
      <patternFill patternType="solid">
        <fgColor rgb="00595959"/>
        <bgColor rgb="00595959"/>
      </patternFill>
    </fill>
    <fill>
      <patternFill patternType="solid">
        <fgColor rgb="007F7F7F"/>
        <bgColor rgb="007F7F7F"/>
      </patternFill>
    </fill>
    <fill>
      <patternFill patternType="solid">
        <fgColor rgb="00EDEDED"/>
        <bgColor rgb="00EDEDED"/>
      </patternFill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  <fill>
      <patternFill patternType="solid">
        <fgColor rgb="00C00000"/>
        <bgColor rgb="00C00000"/>
      </patternFill>
    </fill>
  </fills>
  <borders count="10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top style="medium">
        <color rgb="001F3864"/>
      </top>
    </border>
    <border>
      <bottom style="thin">
        <color rgb="00BFBFBF"/>
      </bottom>
    </border>
    <border>
      <top style="medium">
        <color rgb="00C55A11"/>
      </top>
    </border>
    <border>
      <top style="medium">
        <color rgb="00C00000"/>
      </top>
    </border>
    <border>
      <top style="medium">
        <color rgb="00375623"/>
      </top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59">
    <xf numFmtId="0" fontId="0" fillId="0" borderId="0" pivotButton="0" quotePrefix="0" xfId="0"/>
    <xf numFmtId="0" fontId="7" fillId="2" borderId="0" applyAlignment="1" pivotButton="0" quotePrefix="0" xfId="0">
      <alignment vertical="center" indent="1"/>
    </xf>
    <xf numFmtId="0" fontId="0" fillId="2" borderId="0" pivotButton="0" quotePrefix="0" xfId="0"/>
    <xf numFmtId="0" fontId="20" fillId="0" borderId="0" applyAlignment="1" pivotButton="0" quotePrefix="0" xfId="0">
      <alignment vertical="top" wrapText="1"/>
    </xf>
    <xf numFmtId="0" fontId="21" fillId="0" borderId="0" applyAlignment="1" pivotButton="0" quotePrefix="0" xfId="0">
      <alignment vertical="top" wrapText="1"/>
    </xf>
    <xf numFmtId="0" fontId="2" fillId="0" borderId="0" pivotButton="0" quotePrefix="0" xfId="0"/>
    <xf numFmtId="0" fontId="8" fillId="7" borderId="0" applyAlignment="1" pivotButton="0" quotePrefix="0" xfId="0">
      <alignment horizontal="center" vertical="center" wrapText="1"/>
    </xf>
    <xf numFmtId="0" fontId="10" fillId="0" borderId="0" pivotButton="0" quotePrefix="0" xfId="0"/>
    <xf numFmtId="0" fontId="9" fillId="3" borderId="1" applyAlignment="1" applyProtection="1" pivotButton="0" quotePrefix="0" xfId="0">
      <alignment horizontal="center" vertical="center" wrapText="1"/>
      <protection locked="0" hidden="0"/>
    </xf>
    <xf numFmtId="0" fontId="0" fillId="3" borderId="1" pivotButton="0" quotePrefix="0" xfId="0"/>
    <xf numFmtId="166" fontId="9" fillId="3" borderId="1" applyAlignment="1" applyProtection="1" pivotButton="0" quotePrefix="0" xfId="0">
      <alignment horizontal="center" vertical="center" wrapText="1"/>
      <protection locked="0" hidden="0"/>
    </xf>
    <xf numFmtId="0" fontId="11" fillId="2" borderId="0" applyAlignment="1" pivotButton="0" quotePrefix="0" xfId="0">
      <alignment horizontal="left" vertical="center" indent="1"/>
    </xf>
    <xf numFmtId="0" fontId="8" fillId="7" borderId="2" applyAlignment="1" pivotButton="0" quotePrefix="0" xfId="0">
      <alignment horizontal="center" vertical="center" wrapText="1"/>
    </xf>
    <xf numFmtId="0" fontId="0" fillId="7" borderId="2" pivotButton="0" quotePrefix="0" xfId="0"/>
    <xf numFmtId="3" fontId="12" fillId="8" borderId="3" applyAlignment="1" pivotButton="0" quotePrefix="0" xfId="0">
      <alignment horizontal="center" vertical="center" wrapText="1"/>
    </xf>
    <xf numFmtId="0" fontId="0" fillId="0" borderId="3" pivotButton="0" quotePrefix="0" xfId="0"/>
    <xf numFmtId="9" fontId="12" fillId="8" borderId="3" applyAlignment="1" pivotButton="0" quotePrefix="0" xfId="0">
      <alignment horizontal="center" vertical="center" wrapText="1"/>
    </xf>
    <xf numFmtId="165" fontId="12" fillId="8" borderId="3" applyAlignment="1" pivotButton="0" quotePrefix="0" xfId="0">
      <alignment horizontal="center" vertical="center" wrapText="1"/>
    </xf>
    <xf numFmtId="0" fontId="11" fillId="9" borderId="0" applyAlignment="1" pivotButton="0" quotePrefix="0" xfId="0">
      <alignment horizontal="left" vertical="center" indent="1"/>
    </xf>
    <xf numFmtId="0" fontId="0" fillId="9" borderId="0" pivotButton="0" quotePrefix="0" xfId="0"/>
    <xf numFmtId="0" fontId="8" fillId="7" borderId="4" applyAlignment="1" pivotButton="0" quotePrefix="0" xfId="0">
      <alignment horizontal="center" vertical="center" wrapText="1"/>
    </xf>
    <xf numFmtId="0" fontId="0" fillId="7" borderId="4" pivotButton="0" quotePrefix="0" xfId="0"/>
    <xf numFmtId="0" fontId="8" fillId="7" borderId="5" applyAlignment="1" pivotButton="0" quotePrefix="0" xfId="0">
      <alignment horizontal="center" vertical="center" wrapText="1"/>
    </xf>
    <xf numFmtId="0" fontId="0" fillId="7" borderId="5" pivotButton="0" quotePrefix="0" xfId="0"/>
    <xf numFmtId="0" fontId="8" fillId="7" borderId="6" applyAlignment="1" pivotButton="0" quotePrefix="0" xfId="0">
      <alignment horizontal="center" vertical="center" wrapText="1"/>
    </xf>
    <xf numFmtId="0" fontId="0" fillId="7" borderId="6" pivotButton="0" quotePrefix="0" xfId="0"/>
    <xf numFmtId="3" fontId="13" fillId="8" borderId="3" applyAlignment="1" pivotButton="0" quotePrefix="0" xfId="0">
      <alignment horizontal="center" vertical="center" wrapText="1"/>
    </xf>
    <xf numFmtId="3" fontId="14" fillId="8" borderId="3" applyAlignment="1" pivotButton="0" quotePrefix="0" xfId="0">
      <alignment horizontal="center" vertical="center" wrapText="1"/>
    </xf>
    <xf numFmtId="3" fontId="15" fillId="8" borderId="3" applyAlignment="1" pivotButton="0" quotePrefix="0" xfId="0">
      <alignment horizontal="center" vertical="center" wrapText="1"/>
    </xf>
    <xf numFmtId="0" fontId="16" fillId="4" borderId="1" applyAlignment="1" pivotButton="0" quotePrefix="0" xfId="0">
      <alignment horizontal="center" vertical="center" wrapText="1"/>
    </xf>
    <xf numFmtId="0" fontId="0" fillId="4" borderId="1" pivotButton="0" quotePrefix="0" xfId="0"/>
    <xf numFmtId="0" fontId="17" fillId="0" borderId="1" applyAlignment="1" pivotButton="0" quotePrefix="0" xfId="0">
      <alignment horizontal="left" vertical="center" wrapText="1"/>
    </xf>
    <xf numFmtId="0" fontId="0" fillId="0" borderId="1" pivotButton="0" quotePrefix="0" xfId="0"/>
    <xf numFmtId="0" fontId="0" fillId="0" borderId="9" pivotButton="0" quotePrefix="0" xfId="0"/>
    <xf numFmtId="0" fontId="18" fillId="0" borderId="1" applyAlignment="1" pivotButton="0" quotePrefix="0" xfId="0">
      <alignment horizontal="left" vertical="center"/>
    </xf>
    <xf numFmtId="0" fontId="17" fillId="0" borderId="1" applyAlignment="1" pivotButton="0" quotePrefix="0" xfId="0">
      <alignment horizontal="center" vertical="center" wrapText="1"/>
    </xf>
    <xf numFmtId="3" fontId="6" fillId="0" borderId="1" applyAlignment="1" pivotButton="0" quotePrefix="0" xfId="0">
      <alignment horizontal="center" vertical="center" wrapText="1"/>
    </xf>
    <xf numFmtId="165" fontId="6" fillId="0" borderId="1" applyAlignment="1" pivotButton="0" quotePrefix="0" xfId="0">
      <alignment horizontal="center" vertical="center" wrapText="1"/>
    </xf>
    <xf numFmtId="0" fontId="17" fillId="0" borderId="1" applyAlignment="1" pivotButton="0" quotePrefix="0" xfId="0">
      <alignment horizontal="left" vertical="center"/>
    </xf>
    <xf numFmtId="3" fontId="18" fillId="0" borderId="1" applyAlignment="1" pivotButton="0" quotePrefix="0" xfId="0">
      <alignment horizontal="center" vertical="center" wrapText="1"/>
    </xf>
    <xf numFmtId="0" fontId="19" fillId="0" borderId="1" applyAlignment="1" pivotButton="0" quotePrefix="0" xfId="0">
      <alignment horizontal="left" vertical="center" wrapText="1"/>
    </xf>
    <xf numFmtId="3" fontId="17" fillId="0" borderId="1" applyAlignment="1" pivotButton="0" quotePrefix="0" xfId="0">
      <alignment horizontal="center" vertical="center" wrapText="1"/>
    </xf>
    <xf numFmtId="0" fontId="1" fillId="2" borderId="0" applyAlignment="1" pivotButton="0" quotePrefix="0" xfId="0">
      <alignment vertical="center" indent="1"/>
    </xf>
    <xf numFmtId="0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164" fontId="4" fillId="3" borderId="1" applyAlignment="1" pivotButton="0" quotePrefix="0" xfId="0">
      <alignment vertical="center"/>
    </xf>
    <xf numFmtId="0" fontId="4" fillId="3" borderId="1" applyAlignment="1" pivotButton="0" quotePrefix="0" xfId="0">
      <alignment vertical="center"/>
    </xf>
    <xf numFmtId="3" fontId="4" fillId="3" borderId="1" applyAlignment="1" pivotButton="0" quotePrefix="0" xfId="0">
      <alignment vertical="center"/>
    </xf>
    <xf numFmtId="0" fontId="4" fillId="3" borderId="1" applyAlignment="1" pivotButton="0" quotePrefix="0" xfId="0">
      <alignment vertical="center" wrapText="1"/>
    </xf>
    <xf numFmtId="165" fontId="6" fillId="6" borderId="1" applyAlignment="1" pivotButton="0" quotePrefix="0" xfId="0">
      <alignment horizontal="center" vertical="center"/>
    </xf>
    <xf numFmtId="3" fontId="6" fillId="6" borderId="1" applyAlignment="1" pivotButton="0" quotePrefix="0" xfId="0">
      <alignment horizontal="center" vertical="center"/>
    </xf>
    <xf numFmtId="0" fontId="6" fillId="6" borderId="1" applyAlignment="1" pivotButton="0" quotePrefix="0" xfId="0">
      <alignment vertical="center"/>
    </xf>
    <xf numFmtId="9" fontId="6" fillId="6" borderId="1" applyAlignment="1" pivotButton="0" quotePrefix="0" xfId="0">
      <alignment horizontal="center" vertical="center"/>
    </xf>
    <xf numFmtId="164" fontId="6" fillId="6" borderId="1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4" fillId="3" borderId="1" pivotButton="0" quotePrefix="0" xfId="0"/>
  </cellXfs>
  <cellStyles count="1">
    <cellStyle name="Normal" xfId="0" builtinId="0" hidden="0"/>
  </cellStyles>
  <dxfs count="7">
    <dxf>
      <fill>
        <patternFill patternType="solid">
          <fgColor rgb="00FFEB9C"/>
          <bgColor rgb="00FFEB9C"/>
        </patternFill>
      </fill>
    </dxf>
    <dxf>
      <fill>
        <patternFill patternType="solid">
          <fgColor rgb="00FFC7CE"/>
          <bgColor rgb="00FFC7CE"/>
        </patternFill>
      </fill>
    </dxf>
    <dxf>
      <fill>
        <patternFill patternType="solid">
          <fgColor rgb="00FDE9D9"/>
          <bgColor rgb="00FDE9D9"/>
        </patternFill>
      </fill>
    </dxf>
    <dxf>
      <font>
        <b val="1"/>
        <color rgb="009C0006"/>
      </font>
      <fill>
        <patternFill patternType="solid">
          <fgColor rgb="00FFC7CE"/>
          <bgColor rgb="00FFC7CE"/>
        </patternFill>
      </fill>
    </dxf>
    <dxf>
      <font>
        <b val="1"/>
        <color rgb="007F6000"/>
      </font>
      <fill>
        <patternFill patternType="solid">
          <fgColor rgb="00FFEB9C"/>
          <bgColor rgb="00FFEB9C"/>
        </patternFill>
      </fill>
    </dxf>
    <dxf>
      <font>
        <b val="1"/>
        <color rgb="00006100"/>
      </font>
      <fill>
        <patternFill patternType="solid">
          <fgColor rgb="00C6EFCE"/>
          <bgColor rgb="00C6EFCE"/>
        </patternFill>
      </fill>
    </dxf>
    <dxf>
      <font>
        <b val="1"/>
        <color rgb="002F5597"/>
      </font>
      <fill>
        <patternFill patternType="solid">
          <fgColor rgb="00DDEBF7"/>
          <bgColor rgb="00DDEBF7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Leads, MQLs, SQLs by month</a:t>
            </a:r>
          </a:p>
        </rich>
      </tx>
    </title>
    <plotArea>
      <lineChart>
        <grouping val="standard"/>
        <ser>
          <idx val="0"/>
          <order val="0"/>
          <tx>
            <strRef>
              <f>'DASHBOARD'!C55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'DASHBOARD'!$D$54:$I$54</f>
            </numRef>
          </cat>
          <val>
            <numRef>
              <f>'DASHBOARD'!$D$55:$I$55</f>
            </numRef>
          </val>
        </ser>
        <ser>
          <idx val="1"/>
          <order val="1"/>
          <tx>
            <strRef>
              <f>'DASHBOARD'!C56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'DASHBOARD'!$D$54:$I$54</f>
            </numRef>
          </cat>
          <val>
            <numRef>
              <f>'DASHBOARD'!$D$56:$I$56</f>
            </numRef>
          </val>
        </ser>
        <ser>
          <idx val="2"/>
          <order val="2"/>
          <tx>
            <strRef>
              <f>'DASHBOARD'!C57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'DASHBOARD'!$D$54:$I$54</f>
            </numRef>
          </cat>
          <val>
            <numRef>
              <f>'DASHBOARD'!$D$57:$I$57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9</col>
      <colOff>0</colOff>
      <row>53</row>
      <rowOff>0</rowOff>
    </from>
    <ext cx="3960000" cy="23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blStats" displayName="tblStats" ref="A4:T504" headerRowCount="1">
  <autoFilter ref="A4:T504"/>
  <tableColumns count="20">
    <tableColumn id="1" name="Date"/>
    <tableColumn id="2" name="Client"/>
    <tableColumn id="3" name="Campaign"/>
    <tableColumn id="4" name="Channel"/>
    <tableColumn id="5" name="Your Name"/>
    <tableColumn id="6" name="Emails Sent"/>
    <tableColumn id="7" name="Opens"/>
    <tableColumn id="8" name="Clicks"/>
    <tableColumn id="9" name="Replies"/>
    <tableColumn id="10" name="Ad Spend"/>
    <tableColumn id="11" name="Handraisers"/>
    <tableColumn id="12" name="Leads"/>
    <tableColumn id="13" name="MQLs"/>
    <tableColumn id="14" name="SQLs"/>
    <tableColumn id="15" name="Opportunities"/>
    <tableColumn id="16" name="Notes"/>
    <tableColumn id="17" name="Open Rate"/>
    <tableColumn id="18" name="Click Rate"/>
    <tableColumn id="19" name="Cost per Lead"/>
    <tableColumn id="20" name="Month"/>
  </tableColumns>
  <tableStyleInfo name="TableStyleLight1" showRowStripes="0"/>
</table>
</file>

<file path=xl/tables/table2.xml><?xml version="1.0" encoding="utf-8"?>
<table xmlns="http://schemas.openxmlformats.org/spreadsheetml/2006/main" id="2" name="tblCampaigns" displayName="tblCampaigns" ref="A4:O104" headerRowCount="1">
  <autoFilter ref="A4:O104"/>
  <tableColumns count="15">
    <tableColumn id="1" name="Client"/>
    <tableColumn id="2" name="Campaign Name"/>
    <tableColumn id="3" name="Channel"/>
    <tableColumn id="4" name="Owner"/>
    <tableColumn id="5" name="Status"/>
    <tableColumn id="6" name="Start Date"/>
    <tableColumn id="7" name="End Date"/>
    <tableColumn id="8" name="Leads Target"/>
    <tableColumn id="9" name="Remarks"/>
    <tableColumn id="10" name="Leads So Far"/>
    <tableColumn id="11" name="MQLs So Far"/>
    <tableColumn id="12" name="Spend So Far"/>
    <tableColumn id="13" name="% of Target"/>
    <tableColumn id="14" name="Last Stats Entry"/>
    <tableColumn id="15" name="Check"/>
  </tableColumns>
  <tableStyleInfo name="TableStyleLight1" showRowStripes="0"/>
</table>
</file>

<file path=xl/tables/table3.xml><?xml version="1.0" encoding="utf-8"?>
<table xmlns="http://schemas.openxmlformats.org/spreadsheetml/2006/main" id="3" name="tblPrograms" displayName="tblPrograms" ref="A4:H154" headerRowCount="1">
  <autoFilter ref="A4:H154"/>
  <tableColumns count="8">
    <tableColumn id="1" name="Team Member"/>
    <tableColumn id="2" name="Client"/>
    <tableColumn id="3" name="Program / Work"/>
    <tableColumn id="4" name="Target (as provided)"/>
    <tableColumn id="5" name="Status"/>
    <tableColumn id="6" name="Date (if any)"/>
    <tableColumn id="7" name="Remark / Next Step"/>
    <tableColumn id="8" name="Blocked key"/>
  </tableColumns>
  <tableStyleInfo name="TableStyleLight1" showRowStripes="0"/>
</table>
</file>

<file path=xl/tables/table4.xml><?xml version="1.0" encoding="utf-8"?>
<table xmlns="http://schemas.openxmlformats.org/spreadsheetml/2006/main" id="4" name="tblClients" displayName="tblClients" ref="A4:E44" headerRowCount="1">
  <autoFilter ref="A4:E44"/>
  <tableColumns count="5">
    <tableColumn id="1" name="Client"/>
    <tableColumn id="2" name="Status"/>
    <tableColumn id="3" name="Type"/>
    <tableColumn id="4" name="Services"/>
    <tableColumn id="5" name="Notes"/>
  </tableColumns>
  <tableStyleInfo name="TableStyleLight1" showRow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sheet1.xml><?xml version="1.0" encoding="utf-8"?>
<worksheet xmlns="http://schemas.openxmlformats.org/spreadsheetml/2006/main">
  <sheetPr>
    <tabColor rgb="00548235"/>
    <outlinePr summaryBelow="1" summaryRight="1"/>
    <pageSetUpPr/>
  </sheetPr>
  <dimension ref="B1:C18"/>
  <sheetViews>
    <sheetView showGridLines="0" tabSelected="0" workbookViewId="0">
      <selection activeCell="A1" sqref="A1"/>
    </sheetView>
  </sheetViews>
  <sheetFormatPr baseColWidth="8" defaultRowHeight="15"/>
  <cols>
    <col width="3" customWidth="1" min="1" max="1"/>
    <col width="26" customWidth="1" min="2" max="2"/>
    <col width="95" customWidth="1" min="3" max="3"/>
  </cols>
  <sheetData>
    <row r="1" ht="36" customHeight="1">
      <c r="B1" s="1" t="inlineStr">
        <is>
          <t>HOW TO USE - 3 simple steps</t>
        </is>
      </c>
      <c r="C1" s="2" t="n"/>
    </row>
    <row r="3" ht="50" customHeight="1">
      <c r="B3" s="3" t="inlineStr">
        <is>
          <t>STEP 1 - Team</t>
        </is>
      </c>
      <c r="C3" s="4" t="inlineStr">
        <is>
          <t>Go to UPDATE STATS. Add one row each time you have new numbers (daily or weekly): pick Date, Client, Campaign, Channel, Your Name, then type only the numbers that apply (emails, leads, spend...). Numbers are for THAT period - not running totals.</t>
        </is>
      </c>
    </row>
    <row r="4" ht="34" customHeight="1">
      <c r="B4" s="3" t="inlineStr">
        <is>
          <t>STEP 2 - Campaign owners</t>
        </is>
      </c>
      <c r="C4" s="4" t="inlineStr">
        <is>
          <t>On CAMPAIGNS keep Status (Planned / Live / Paused / Completed), dates and Leads Target up to date. Leads, MQLs and spend appear on their own.</t>
        </is>
      </c>
    </row>
    <row r="5" ht="34" customHeight="1">
      <c r="B5" s="3" t="inlineStr">
        <is>
          <t>STEP 3 - Programs (optional)</t>
        </is>
      </c>
      <c r="C5" s="4" t="inlineStr">
        <is>
          <t>On PROGRAM STATUS just change the Status when something moves: Not Started / In Progress / Done / Blocked. No daily tasks needed.</t>
        </is>
      </c>
    </row>
    <row r="6" ht="18" customHeight="1">
      <c r="B6" s="3" t="inlineStr">
        <is>
          <t>Manager</t>
        </is>
      </c>
      <c r="C6" s="4" t="inlineStr">
        <is>
          <t>Open DASHBOARD. Pick Month and Client at the top. Everything else updates by itself.</t>
        </is>
      </c>
    </row>
    <row r="7" ht="18" customHeight="1">
      <c r="B7" s="3" t="inlineStr"/>
      <c r="C7" s="4" t="inlineStr"/>
    </row>
    <row r="8" ht="34" customHeight="1">
      <c r="B8" s="3" t="inlineStr">
        <is>
          <t>Colours</t>
        </is>
      </c>
      <c r="C8" s="4" t="inlineStr">
        <is>
          <t>BLUE = you type or pick. GREY = automatic, do not type. DASHBOARD is locked (no password) so nothing breaks.</t>
        </is>
      </c>
    </row>
    <row r="9" ht="34" customHeight="1">
      <c r="B9" s="3" t="inlineStr">
        <is>
          <t>Do not</t>
        </is>
      </c>
      <c r="C9" s="4" t="inlineStr">
        <is>
          <t>Rename sheets or column headings, or delete columns. If a campaign is renamed, change it everywhere.</t>
        </is>
      </c>
    </row>
    <row r="10" ht="18" customHeight="1">
      <c r="B10" s="3" t="inlineStr">
        <is>
          <t>New client / campaign / person</t>
        </is>
      </c>
      <c r="C10" s="4" t="inlineStr">
        <is>
          <t>Add on CLIENTS, CAMPAIGNS or LISTS (team). They appear in the dropdowns straight away.</t>
        </is>
      </c>
    </row>
    <row r="11" ht="18" customHeight="1">
      <c r="B11" s="3" t="inlineStr">
        <is>
          <t>Running out of rows?</t>
        </is>
      </c>
      <c r="C11" s="4" t="inlineStr">
        <is>
          <t>Copy the last row (blue and grey cells) and paste below it.</t>
        </is>
      </c>
    </row>
    <row r="12" ht="18" customHeight="1">
      <c r="B12" s="3" t="inlineStr"/>
      <c r="C12" s="4" t="inlineStr"/>
    </row>
    <row r="13" ht="18" customHeight="1">
      <c r="B13" s="3" t="inlineStr">
        <is>
          <t>Open Rate</t>
        </is>
      </c>
      <c r="C13" s="4" t="inlineStr">
        <is>
          <t>Opens / Emails Sent</t>
        </is>
      </c>
    </row>
    <row r="14" ht="18" customHeight="1">
      <c r="B14" s="3" t="inlineStr">
        <is>
          <t>Click Rate</t>
        </is>
      </c>
      <c r="C14" s="4" t="inlineStr">
        <is>
          <t>Clicks / Emails Sent</t>
        </is>
      </c>
    </row>
    <row r="15" ht="18" customHeight="1">
      <c r="B15" s="3" t="inlineStr">
        <is>
          <t>Cost per Lead</t>
        </is>
      </c>
      <c r="C15" s="4" t="inlineStr">
        <is>
          <t>Ad Spend / Leads</t>
        </is>
      </c>
    </row>
    <row r="16" ht="18" customHeight="1">
      <c r="B16" s="3" t="inlineStr">
        <is>
          <t>Lead &gt; MQL %</t>
        </is>
      </c>
      <c r="C16" s="4" t="inlineStr">
        <is>
          <t>MQLs / Leads</t>
        </is>
      </c>
    </row>
    <row r="17" ht="34" customHeight="1">
      <c r="B17" s="3" t="inlineStr">
        <is>
          <t>Check column (Campaigns)</t>
        </is>
      </c>
      <c r="C17" s="4" t="inlineStr">
        <is>
          <t>Update needed = Live campaign with no stats for 7+ days. Behind target = under 50% of Leads Target. No stats yet = Live but nothing entered.</t>
        </is>
      </c>
    </row>
    <row r="18" ht="18" customHeight="1">
      <c r="B18" s="3" t="inlineStr">
        <is>
          <t>Leads counted twice?</t>
        </is>
      </c>
      <c r="C18" s="4" t="inlineStr">
        <is>
          <t>Enter each lead count once - one row per Campaign per period.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1">
    <mergeCell ref="B1:C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1F3864"/>
    <outlinePr summaryBelow="1" summaryRight="1"/>
    <pageSetUpPr fitToPage="1"/>
  </sheetPr>
  <dimension ref="B1:M114"/>
  <sheetViews>
    <sheetView showGridLines="0" tabSelected="1" zoomScale="9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2" customWidth="1" min="14" max="14"/>
  </cols>
  <sheetData>
    <row r="1" ht="36" customHeight="1">
      <c r="B1" s="1" t="inlineStr">
        <is>
          <t>DIGITAL MARKETING DASHBOARD</t>
        </is>
      </c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</row>
    <row r="2">
      <c r="B2" s="5" t="inlineStr">
        <is>
          <t>Updates automatically from UPDATE STATS. Nothing to type here except the 3 blue boxes below.</t>
        </is>
      </c>
    </row>
    <row r="4">
      <c r="B4" s="6" t="inlineStr">
        <is>
          <t>MONTH</t>
        </is>
      </c>
      <c r="E4" s="6" t="inlineStr">
        <is>
          <t>CLIENT</t>
        </is>
      </c>
      <c r="H4" s="6" t="inlineStr">
        <is>
          <t>AS OF DATE</t>
        </is>
      </c>
      <c r="L4" s="7" t="str">
        <f>IF(B5="All","&lt;&gt;@@",B5)</f>
        <v>&lt;&gt;@@</v>
      </c>
    </row>
    <row r="5">
      <c r="B5" s="8" t="inlineStr">
        <is>
          <t>All</t>
        </is>
      </c>
      <c r="C5" s="9" t="n"/>
      <c r="D5" s="9" t="n"/>
      <c r="E5" s="8" t="inlineStr">
        <is>
          <t>All</t>
        </is>
      </c>
      <c r="F5" s="9" t="n"/>
      <c r="G5" s="9" t="n"/>
      <c r="H5" s="10">
        <f>TODAY()</f>
        <v>46300.0</v>
      </c>
      <c r="I5" s="9" t="n"/>
      <c r="J5" s="9" t="n"/>
      <c r="L5" s="7" t="str">
        <f>IF(E5="All","&lt;&gt;@@",E5)</f>
        <v>&lt;&gt;@@</v>
      </c>
    </row>
    <row r="7" ht="22" customHeight="1">
      <c r="B7" s="11" t="inlineStr">
        <is>
          <t>RESULTS (for the Month and Client selected above)</t>
        </is>
      </c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</row>
    <row r="8" ht="20" customHeight="1">
      <c r="B8" s="12" t="inlineStr">
        <is>
          <t>LEADS</t>
        </is>
      </c>
      <c r="C8" s="13" t="n"/>
      <c r="D8" s="12" t="inlineStr">
        <is>
          <t>HANDRAISERS</t>
        </is>
      </c>
      <c r="E8" s="13" t="n"/>
      <c r="F8" s="12" t="inlineStr">
        <is>
          <t>MQLs</t>
        </is>
      </c>
      <c r="G8" s="13" t="n"/>
      <c r="H8" s="12" t="inlineStr">
        <is>
          <t>SQLs</t>
        </is>
      </c>
      <c r="I8" s="13" t="n"/>
      <c r="J8" s="12" t="inlineStr">
        <is>
          <t>OPPORTUNITIES</t>
        </is>
      </c>
      <c r="K8" s="13" t="n"/>
      <c r="L8" s="12" t="inlineStr">
        <is>
          <t>LEAD &gt; MQL %</t>
        </is>
      </c>
      <c r="M8" s="13" t="n"/>
    </row>
    <row r="9" ht="38" customHeight="1">
      <c r="B9" s="14">
        <f>SUMIFS('UPDATE STATS'!$L$5:$L$1004,'UPDATE STATS'!$T$5:$T$1004,mCrit,'UPDATE STATS'!$B$5:$B$1004,cCrit)</f>
        <v>0</v>
      </c>
      <c r="C9" s="15" t="n"/>
      <c r="D9" s="14">
        <f>SUMIFS('UPDATE STATS'!$K$5:$K$1004,'UPDATE STATS'!$T$5:$T$1004,mCrit,'UPDATE STATS'!$B$5:$B$1004,cCrit)</f>
        <v>0</v>
      </c>
      <c r="E9" s="15" t="n"/>
      <c r="F9" s="14">
        <f>SUMIFS('UPDATE STATS'!$M$5:$M$1004,'UPDATE STATS'!$T$5:$T$1004,mCrit,'UPDATE STATS'!$B$5:$B$1004,cCrit)</f>
        <v>0</v>
      </c>
      <c r="G9" s="15" t="n"/>
      <c r="H9" s="14">
        <f>SUMIFS('UPDATE STATS'!$N$5:$N$1004,'UPDATE STATS'!$T$5:$T$1004,mCrit,'UPDATE STATS'!$B$5:$B$1004,cCrit)</f>
        <v>0</v>
      </c>
      <c r="I9" s="15" t="n"/>
      <c r="J9" s="14">
        <f>SUMIFS('UPDATE STATS'!$O$5:$O$1004,'UPDATE STATS'!$T$5:$T$1004,mCrit,'UPDATE STATS'!$B$5:$B$1004,cCrit)</f>
        <v>0</v>
      </c>
      <c r="K9" s="15" t="n"/>
      <c r="L9" s="16" t="str">
        <f>IFERROR(SUMIFS('UPDATE STATS'!$M$5:$M$1004,'UPDATE STATS'!$T$5:$T$1004,mCrit,'UPDATE STATS'!$B$5:$B$1004,cCrit)/SUMIFS('UPDATE STATS'!$L$5:$L$1004,'UPDATE STATS'!$T$5:$T$1004,mCrit,'UPDATE STATS'!$B$5:$B$1004,cCrit),"-")</f>
        <v>-</v>
      </c>
      <c r="M9" s="15" t="n"/>
    </row>
    <row r="11" ht="20" customHeight="1">
      <c r="B11" s="12" t="inlineStr">
        <is>
          <t>EMAILS SENT</t>
        </is>
      </c>
      <c r="C11" s="13" t="n"/>
      <c r="D11" s="12" t="inlineStr">
        <is>
          <t>OPEN RATE</t>
        </is>
      </c>
      <c r="E11" s="13" t="n"/>
      <c r="F11" s="12" t="inlineStr">
        <is>
          <t>CLICK RATE</t>
        </is>
      </c>
      <c r="G11" s="13" t="n"/>
      <c r="H11" s="12" t="inlineStr">
        <is>
          <t>REPLIES</t>
        </is>
      </c>
      <c r="I11" s="13" t="n"/>
      <c r="J11" s="12" t="inlineStr">
        <is>
          <t>AD SPEND</t>
        </is>
      </c>
      <c r="K11" s="13" t="n"/>
      <c r="L11" s="12" t="inlineStr">
        <is>
          <t>COST PER LEAD</t>
        </is>
      </c>
      <c r="M11" s="13" t="n"/>
    </row>
    <row r="12" ht="38" customHeight="1">
      <c r="B12" s="14">
        <f>SUMIFS('UPDATE STATS'!$F$5:$F$1004,'UPDATE STATS'!$T$5:$T$1004,mCrit,'UPDATE STATS'!$B$5:$B$1004,cCrit)</f>
        <v>0</v>
      </c>
      <c r="C12" s="15" t="n"/>
      <c r="D12" s="17" t="str">
        <f>IFERROR(SUMIFS('UPDATE STATS'!$G$5:$G$1004,'UPDATE STATS'!$T$5:$T$1004,mCrit,'UPDATE STATS'!$B$5:$B$1004,cCrit)/SUMIFS('UPDATE STATS'!$F$5:$F$1004,'UPDATE STATS'!$T$5:$T$1004,mCrit,'UPDATE STATS'!$B$5:$B$1004,cCrit),"-")</f>
        <v>-</v>
      </c>
      <c r="E12" s="15" t="n"/>
      <c r="F12" s="17" t="str">
        <f>IFERROR(SUMIFS('UPDATE STATS'!$H$5:$H$1004,'UPDATE STATS'!$T$5:$T$1004,mCrit,'UPDATE STATS'!$B$5:$B$1004,cCrit)/SUMIFS('UPDATE STATS'!$F$5:$F$1004,'UPDATE STATS'!$T$5:$T$1004,mCrit,'UPDATE STATS'!$B$5:$B$1004,cCrit),"-")</f>
        <v>-</v>
      </c>
      <c r="G12" s="15" t="n"/>
      <c r="H12" s="14">
        <f>SUMIFS('UPDATE STATS'!$I$5:$I$1004,'UPDATE STATS'!$T$5:$T$1004,mCrit,'UPDATE STATS'!$B$5:$B$1004,cCrit)</f>
        <v>0</v>
      </c>
      <c r="I12" s="15" t="n"/>
      <c r="J12" s="14">
        <f>SUMIFS('UPDATE STATS'!$J$5:$J$1004,'UPDATE STATS'!$T$5:$T$1004,mCrit,'UPDATE STATS'!$B$5:$B$1004,cCrit)</f>
        <v>0</v>
      </c>
      <c r="K12" s="15" t="n"/>
      <c r="L12" s="14" t="str">
        <f>IFERROR(SUMIFS('UPDATE STATS'!$J$5:$J$1004,'UPDATE STATS'!$T$5:$T$1004,mCrit,'UPDATE STATS'!$B$5:$B$1004,cCrit)/SUMIFS('UPDATE STATS'!$L$5:$L$1004,'UPDATE STATS'!$T$5:$T$1004,mCrit,'UPDATE STATS'!$B$5:$B$1004,cCrit),"-")</f>
        <v>-</v>
      </c>
      <c r="M12" s="15" t="n"/>
    </row>
    <row r="14" ht="22" customHeight="1">
      <c r="B14" s="18" t="inlineStr">
        <is>
          <t>NEEDS ATTENTION</t>
        </is>
      </c>
      <c r="C14" s="19" t="n"/>
      <c r="D14" s="19" t="n"/>
      <c r="E14" s="19" t="n"/>
      <c r="F14" s="19" t="n"/>
      <c r="G14" s="19" t="n"/>
      <c r="H14" s="19" t="n"/>
      <c r="I14" s="19" t="n"/>
      <c r="J14" s="19" t="n"/>
      <c r="K14" s="19" t="n"/>
      <c r="L14" s="19" t="n"/>
      <c r="M14" s="19" t="n"/>
    </row>
    <row r="15" ht="20" customHeight="1">
      <c r="B15" s="12" t="inlineStr">
        <is>
          <t>LIVE CAMPAIGNS</t>
        </is>
      </c>
      <c r="C15" s="13" t="n"/>
      <c r="D15" s="20" t="inlineStr">
        <is>
          <t>NEED A STATS UPDATE</t>
        </is>
      </c>
      <c r="E15" s="21" t="n"/>
      <c r="F15" s="20" t="inlineStr">
        <is>
          <t>BEHIND TARGET</t>
        </is>
      </c>
      <c r="G15" s="21" t="n"/>
      <c r="H15" s="22" t="inlineStr">
        <is>
          <t>PROGRAMS BLOCKED</t>
        </is>
      </c>
      <c r="I15" s="23" t="n"/>
      <c r="J15" s="20" t="inlineStr">
        <is>
          <t>STATUS NOT UPDATED</t>
        </is>
      </c>
      <c r="K15" s="21" t="n"/>
      <c r="L15" s="24" t="inlineStr">
        <is>
          <t>PROGRAMS DONE</t>
        </is>
      </c>
      <c r="M15" s="25" t="n"/>
    </row>
    <row r="16" ht="38" customHeight="1">
      <c r="B16" s="14">
        <f>COUNTIFS('CAMPAIGNS'!$E$5:$E$604,"Live")</f>
        <v>0</v>
      </c>
      <c r="C16" s="15" t="n"/>
      <c r="D16" s="26">
        <f>COUNTIFS('CAMPAIGNS'!$O$5:$O$604,"Update needed")+COUNTIFS('CAMPAIGNS'!$O$5:$O$604,"No stats yet")</f>
        <v>0</v>
      </c>
      <c r="E16" s="15" t="n"/>
      <c r="F16" s="26">
        <f>COUNTIFS('CAMPAIGNS'!$O$5:$O$604,"Behind target")</f>
        <v>0</v>
      </c>
      <c r="G16" s="15" t="n"/>
      <c r="H16" s="27">
        <f>COUNTIFS('PROGRAM STATUS'!$E$5:$E$654,"Blocked")</f>
        <v>0</v>
      </c>
      <c r="I16" s="15" t="n"/>
      <c r="J16" s="26">
        <f>COUNTIFS('PROGRAM STATUS'!$C$5:$C$654,"&lt;&gt;")-COUNTIFS('PROGRAM STATUS'!$E$5:$E$654,"&lt;&gt;")</f>
        <v>58</v>
      </c>
      <c r="K16" s="15" t="n"/>
      <c r="L16" s="28">
        <f>COUNTIFS('PROGRAM STATUS'!$E$5:$E$654,"Done")</f>
        <v>0</v>
      </c>
      <c r="M16" s="15" t="n"/>
    </row>
    <row r="18" ht="22" customHeight="1">
      <c r="B18" s="29" t="inlineStr">
        <is>
          <t>Blocked programs</t>
        </is>
      </c>
      <c r="C18" s="30" t="n"/>
      <c r="D18" s="30" t="n"/>
      <c r="E18" s="30" t="n"/>
      <c r="F18" s="29" t="inlineStr">
        <is>
          <t>Client</t>
        </is>
      </c>
      <c r="G18" s="30" t="n"/>
      <c r="H18" s="29" t="inlineStr">
        <is>
          <t>Team Member</t>
        </is>
      </c>
      <c r="I18" s="30" t="n"/>
      <c r="J18" s="29" t="inlineStr">
        <is>
          <t>Remark / Next Step</t>
        </is>
      </c>
      <c r="K18" s="30" t="n"/>
      <c r="L18" s="30" t="n"/>
      <c r="M18" s="30" t="n"/>
    </row>
    <row r="19" ht="24" customHeight="1">
      <c r="B19" s="31" t="str">
        <f>IFERROR(IF(INDEX('PROGRAM STATUS'!$C$5:$C$654,MATCH(SMALL('PROGRAM STATUS'!$H$5:$H$654,1),'PROGRAM STATUS'!$H$5:$H$654,0))="","",INDEX('PROGRAM STATUS'!$C$5:$C$654,MATCH(SMALL('PROGRAM STATUS'!$H$5:$H$654,1),'PROGRAM STATUS'!$H$5:$H$654,0))),"- none -")</f>
        <v>- none -</v>
      </c>
      <c r="C19" s="32" t="n"/>
      <c r="D19" s="32" t="n"/>
      <c r="E19" s="32" t="n"/>
      <c r="F19" s="31" t="str">
        <f>IFERROR(IF(INDEX('PROGRAM STATUS'!$B$5:$B$654,MATCH(SMALL('PROGRAM STATUS'!$H$5:$H$654,1),'PROGRAM STATUS'!$H$5:$H$654,0))="","",INDEX('PROGRAM STATUS'!$B$5:$B$654,MATCH(SMALL('PROGRAM STATUS'!$H$5:$H$654,1),'PROGRAM STATUS'!$H$5:$H$654,0))),"")</f>
        <v/>
      </c>
      <c r="G19" s="32" t="n"/>
      <c r="H19" s="31" t="str">
        <f>IFERROR(IF(INDEX('PROGRAM STATUS'!$A$5:$A$654,MATCH(SMALL('PROGRAM STATUS'!$H$5:$H$654,1),'PROGRAM STATUS'!$H$5:$H$654,0))="","",INDEX('PROGRAM STATUS'!$A$5:$A$654,MATCH(SMALL('PROGRAM STATUS'!$H$5:$H$654,1),'PROGRAM STATUS'!$H$5:$H$654,0))),"")</f>
        <v/>
      </c>
      <c r="I19" s="32" t="n"/>
      <c r="J19" s="31" t="str">
        <f>IFERROR(IF(INDEX('PROGRAM STATUS'!$G$5:$G$654,MATCH(SMALL('PROGRAM STATUS'!$H$5:$H$654,1),'PROGRAM STATUS'!$H$5:$H$654,0))="","",INDEX('PROGRAM STATUS'!$G$5:$G$654,MATCH(SMALL('PROGRAM STATUS'!$H$5:$H$654,1),'PROGRAM STATUS'!$H$5:$H$654,0))),"")</f>
        <v/>
      </c>
      <c r="K19" s="32" t="n"/>
      <c r="L19" s="32" t="n"/>
      <c r="M19" s="32" t="n"/>
    </row>
    <row r="20" ht="24" customHeight="1">
      <c r="B20" s="31" t="str">
        <f>IFERROR(IF(INDEX('PROGRAM STATUS'!$C$5:$C$654,MATCH(SMALL('PROGRAM STATUS'!$H$5:$H$654,2),'PROGRAM STATUS'!$H$5:$H$654,0))="","",INDEX('PROGRAM STATUS'!$C$5:$C$654,MATCH(SMALL('PROGRAM STATUS'!$H$5:$H$654,2),'PROGRAM STATUS'!$H$5:$H$654,0))),"")</f>
        <v/>
      </c>
      <c r="C20" s="32" t="n"/>
      <c r="D20" s="32" t="n"/>
      <c r="E20" s="32" t="n"/>
      <c r="F20" s="31" t="str">
        <f>IFERROR(IF(INDEX('PROGRAM STATUS'!$B$5:$B$654,MATCH(SMALL('PROGRAM STATUS'!$H$5:$H$654,2),'PROGRAM STATUS'!$H$5:$H$654,0))="","",INDEX('PROGRAM STATUS'!$B$5:$B$654,MATCH(SMALL('PROGRAM STATUS'!$H$5:$H$654,2),'PROGRAM STATUS'!$H$5:$H$654,0))),"")</f>
        <v/>
      </c>
      <c r="G20" s="32" t="n"/>
      <c r="H20" s="31" t="str">
        <f>IFERROR(IF(INDEX('PROGRAM STATUS'!$A$5:$A$654,MATCH(SMALL('PROGRAM STATUS'!$H$5:$H$654,2),'PROGRAM STATUS'!$H$5:$H$654,0))="","",INDEX('PROGRAM STATUS'!$A$5:$A$654,MATCH(SMALL('PROGRAM STATUS'!$H$5:$H$654,2),'PROGRAM STATUS'!$H$5:$H$654,0))),"")</f>
        <v/>
      </c>
      <c r="I20" s="32" t="n"/>
      <c r="J20" s="31" t="str">
        <f>IFERROR(IF(INDEX('PROGRAM STATUS'!$G$5:$G$654,MATCH(SMALL('PROGRAM STATUS'!$H$5:$H$654,2),'PROGRAM STATUS'!$H$5:$H$654,0))="","",INDEX('PROGRAM STATUS'!$G$5:$G$654,MATCH(SMALL('PROGRAM STATUS'!$H$5:$H$654,2),'PROGRAM STATUS'!$H$5:$H$654,0))),"")</f>
        <v/>
      </c>
      <c r="K20" s="32" t="n"/>
      <c r="L20" s="32" t="n"/>
      <c r="M20" s="32" t="n"/>
    </row>
    <row r="21" ht="24" customHeight="1">
      <c r="B21" s="31" t="str">
        <f>IFERROR(IF(INDEX('PROGRAM STATUS'!$C$5:$C$654,MATCH(SMALL('PROGRAM STATUS'!$H$5:$H$654,3),'PROGRAM STATUS'!$H$5:$H$654,0))="","",INDEX('PROGRAM STATUS'!$C$5:$C$654,MATCH(SMALL('PROGRAM STATUS'!$H$5:$H$654,3),'PROGRAM STATUS'!$H$5:$H$654,0))),"")</f>
        <v/>
      </c>
      <c r="C21" s="32" t="n"/>
      <c r="D21" s="32" t="n"/>
      <c r="E21" s="32" t="n"/>
      <c r="F21" s="31" t="str">
        <f>IFERROR(IF(INDEX('PROGRAM STATUS'!$B$5:$B$654,MATCH(SMALL('PROGRAM STATUS'!$H$5:$H$654,3),'PROGRAM STATUS'!$H$5:$H$654,0))="","",INDEX('PROGRAM STATUS'!$B$5:$B$654,MATCH(SMALL('PROGRAM STATUS'!$H$5:$H$654,3),'PROGRAM STATUS'!$H$5:$H$654,0))),"")</f>
        <v/>
      </c>
      <c r="G21" s="32" t="n"/>
      <c r="H21" s="31" t="str">
        <f>IFERROR(IF(INDEX('PROGRAM STATUS'!$A$5:$A$654,MATCH(SMALL('PROGRAM STATUS'!$H$5:$H$654,3),'PROGRAM STATUS'!$H$5:$H$654,0))="","",INDEX('PROGRAM STATUS'!$A$5:$A$654,MATCH(SMALL('PROGRAM STATUS'!$H$5:$H$654,3),'PROGRAM STATUS'!$H$5:$H$654,0))),"")</f>
        <v/>
      </c>
      <c r="I21" s="32" t="n"/>
      <c r="J21" s="31" t="str">
        <f>IFERROR(IF(INDEX('PROGRAM STATUS'!$G$5:$G$654,MATCH(SMALL('PROGRAM STATUS'!$H$5:$H$654,3),'PROGRAM STATUS'!$H$5:$H$654,0))="","",INDEX('PROGRAM STATUS'!$G$5:$G$654,MATCH(SMALL('PROGRAM STATUS'!$H$5:$H$654,3),'PROGRAM STATUS'!$H$5:$H$654,0))),"")</f>
        <v/>
      </c>
      <c r="K21" s="32" t="n"/>
      <c r="L21" s="32" t="n"/>
      <c r="M21" s="32" t="n"/>
    </row>
    <row r="22" ht="24" customHeight="1">
      <c r="B22" s="31" t="str">
        <f>IFERROR(IF(INDEX('PROGRAM STATUS'!$C$5:$C$654,MATCH(SMALL('PROGRAM STATUS'!$H$5:$H$654,4),'PROGRAM STATUS'!$H$5:$H$654,0))="","",INDEX('PROGRAM STATUS'!$C$5:$C$654,MATCH(SMALL('PROGRAM STATUS'!$H$5:$H$654,4),'PROGRAM STATUS'!$H$5:$H$654,0))),"")</f>
        <v/>
      </c>
      <c r="C22" s="32" t="n"/>
      <c r="D22" s="32" t="n"/>
      <c r="E22" s="32" t="n"/>
      <c r="F22" s="31" t="str">
        <f>IFERROR(IF(INDEX('PROGRAM STATUS'!$B$5:$B$654,MATCH(SMALL('PROGRAM STATUS'!$H$5:$H$654,4),'PROGRAM STATUS'!$H$5:$H$654,0))="","",INDEX('PROGRAM STATUS'!$B$5:$B$654,MATCH(SMALL('PROGRAM STATUS'!$H$5:$H$654,4),'PROGRAM STATUS'!$H$5:$H$654,0))),"")</f>
        <v/>
      </c>
      <c r="G22" s="32" t="n"/>
      <c r="H22" s="31" t="str">
        <f>IFERROR(IF(INDEX('PROGRAM STATUS'!$A$5:$A$654,MATCH(SMALL('PROGRAM STATUS'!$H$5:$H$654,4),'PROGRAM STATUS'!$H$5:$H$654,0))="","",INDEX('PROGRAM STATUS'!$A$5:$A$654,MATCH(SMALL('PROGRAM STATUS'!$H$5:$H$654,4),'PROGRAM STATUS'!$H$5:$H$654,0))),"")</f>
        <v/>
      </c>
      <c r="I22" s="32" t="n"/>
      <c r="J22" s="31" t="str">
        <f>IFERROR(IF(INDEX('PROGRAM STATUS'!$G$5:$G$654,MATCH(SMALL('PROGRAM STATUS'!$H$5:$H$654,4),'PROGRAM STATUS'!$H$5:$H$654,0))="","",INDEX('PROGRAM STATUS'!$G$5:$G$654,MATCH(SMALL('PROGRAM STATUS'!$H$5:$H$654,4),'PROGRAM STATUS'!$H$5:$H$654,0))),"")</f>
        <v/>
      </c>
      <c r="K22" s="32" t="n"/>
      <c r="L22" s="32" t="n"/>
      <c r="M22" s="32" t="n"/>
    </row>
    <row r="23" ht="24" customHeight="1">
      <c r="B23" s="31" t="str">
        <f>IFERROR(IF(INDEX('PROGRAM STATUS'!$C$5:$C$654,MATCH(SMALL('PROGRAM STATUS'!$H$5:$H$654,5),'PROGRAM STATUS'!$H$5:$H$654,0))="","",INDEX('PROGRAM STATUS'!$C$5:$C$654,MATCH(SMALL('PROGRAM STATUS'!$H$5:$H$654,5),'PROGRAM STATUS'!$H$5:$H$654,0))),"")</f>
        <v/>
      </c>
      <c r="C23" s="32" t="n"/>
      <c r="D23" s="32" t="n"/>
      <c r="E23" s="32" t="n"/>
      <c r="F23" s="31" t="str">
        <f>IFERROR(IF(INDEX('PROGRAM STATUS'!$B$5:$B$654,MATCH(SMALL('PROGRAM STATUS'!$H$5:$H$654,5),'PROGRAM STATUS'!$H$5:$H$654,0))="","",INDEX('PROGRAM STATUS'!$B$5:$B$654,MATCH(SMALL('PROGRAM STATUS'!$H$5:$H$654,5),'PROGRAM STATUS'!$H$5:$H$654,0))),"")</f>
        <v/>
      </c>
      <c r="G23" s="32" t="n"/>
      <c r="H23" s="31" t="str">
        <f>IFERROR(IF(INDEX('PROGRAM STATUS'!$A$5:$A$654,MATCH(SMALL('PROGRAM STATUS'!$H$5:$H$654,5),'PROGRAM STATUS'!$H$5:$H$654,0))="","",INDEX('PROGRAM STATUS'!$A$5:$A$654,MATCH(SMALL('PROGRAM STATUS'!$H$5:$H$654,5),'PROGRAM STATUS'!$H$5:$H$654,0))),"")</f>
        <v/>
      </c>
      <c r="I23" s="32" t="n"/>
      <c r="J23" s="31" t="str">
        <f>IFERROR(IF(INDEX('PROGRAM STATUS'!$G$5:$G$654,MATCH(SMALL('PROGRAM STATUS'!$H$5:$H$654,5),'PROGRAM STATUS'!$H$5:$H$654,0))="","",INDEX('PROGRAM STATUS'!$G$5:$G$654,MATCH(SMALL('PROGRAM STATUS'!$H$5:$H$654,5),'PROGRAM STATUS'!$H$5:$H$654,0))),"")</f>
        <v/>
      </c>
      <c r="K23" s="32" t="n"/>
      <c r="L23" s="32" t="n"/>
      <c r="M23" s="32" t="n"/>
    </row>
    <row r="25" ht="22" customHeight="1">
      <c r="B25" s="11" t="inlineStr">
        <is>
          <t>BY CLIENT (Month filter applies)  -  Tata Communications / MECCA highlighted</t>
        </is>
      </c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</row>
    <row r="26" ht="22" customHeight="1">
      <c r="B26" s="29" t="inlineStr">
        <is>
          <t>Client</t>
        </is>
      </c>
      <c r="C26" s="33" t="n"/>
      <c r="D26" s="29" t="inlineStr">
        <is>
          <t>Status</t>
        </is>
      </c>
      <c r="E26" s="29" t="inlineStr">
        <is>
          <t>Leads</t>
        </is>
      </c>
      <c r="F26" s="29" t="inlineStr">
        <is>
          <t>MQLs</t>
        </is>
      </c>
      <c r="G26" s="29" t="inlineStr">
        <is>
          <t>SQLs</t>
        </is>
      </c>
      <c r="H26" s="29" t="inlineStr">
        <is>
          <t>Emails Sent</t>
        </is>
      </c>
      <c r="I26" s="29" t="inlineStr">
        <is>
          <t>Open Rate</t>
        </is>
      </c>
      <c r="J26" s="29" t="inlineStr">
        <is>
          <t>Ad Spend</t>
        </is>
      </c>
      <c r="K26" s="29" t="inlineStr">
        <is>
          <t>Cost / Lead</t>
        </is>
      </c>
      <c r="L26" s="29" t="inlineStr">
        <is>
          <t>Programs Blocked</t>
        </is>
      </c>
    </row>
    <row r="27">
      <c r="B27" s="34" t="str">
        <f>IF(CLIENTS!A5="","",CLIENTS!A5)</f>
        <v>Chola MS</v>
      </c>
      <c r="C27" s="32" t="n"/>
      <c r="D27" s="35" t="str">
        <f>IF($B27="","",IF(CLIENTS!B5="","",CLIENTS!B5))</f>
        <v>Active</v>
      </c>
      <c r="E27" s="36">
        <f>IF($B27="","",SUMIFS('UPDATE STATS'!$L$5:$L$1004,'UPDATE STATS'!$B$5:$B$1004,$B27,'UPDATE STATS'!$T$5:$T$1004,mCrit))</f>
        <v>0</v>
      </c>
      <c r="F27" s="36">
        <f>IF($B27="","",SUMIFS('UPDATE STATS'!$M$5:$M$1004,'UPDATE STATS'!$B$5:$B$1004,$B27,'UPDATE STATS'!$T$5:$T$1004,mCrit))</f>
        <v>0</v>
      </c>
      <c r="G27" s="36">
        <f>IF($B27="","",SUMIFS('UPDATE STATS'!$N$5:$N$1004,'UPDATE STATS'!$B$5:$B$1004,$B27,'UPDATE STATS'!$T$5:$T$1004,mCrit))</f>
        <v>0</v>
      </c>
      <c r="H27" s="36">
        <f>IF($B27="","",SUMIFS('UPDATE STATS'!$F$5:$F$1004,'UPDATE STATS'!$B$5:$B$1004,$B27,'UPDATE STATS'!$T$5:$T$1004,mCrit))</f>
        <v>0</v>
      </c>
      <c r="I27" s="37" t="str">
        <f>IF($B27="","",IFERROR(SUMIFS('UPDATE STATS'!$G$5:$G$1004,'UPDATE STATS'!$B$5:$B$1004,$B27,'UPDATE STATS'!$T$5:$T$1004,mCrit)/SUMIFS('UPDATE STATS'!$F$5:$F$1004,'UPDATE STATS'!$B$5:$B$1004,$B27,'UPDATE STATS'!$T$5:$T$1004,mCrit),""))</f>
        <v/>
      </c>
      <c r="J27" s="36">
        <f>IF($B27="","",SUMIFS('UPDATE STATS'!$J$5:$J$1004,'UPDATE STATS'!$B$5:$B$1004,$B27,'UPDATE STATS'!$T$5:$T$1004,mCrit))</f>
        <v>0</v>
      </c>
      <c r="K27" s="36" t="str">
        <f>IF($B27="","",IF(SUMIFS('UPDATE STATS'!$J$5:$J$1004,'UPDATE STATS'!$B$5:$B$1004,$B27,'UPDATE STATS'!$T$5:$T$1004,mCrit)&gt;0,IFERROR(SUMIFS('UPDATE STATS'!$J$5:$J$1004,'UPDATE STATS'!$B$5:$B$1004,$B27,'UPDATE STATS'!$T$5:$T$1004,mCrit)/SUMIFS('UPDATE STATS'!$L$5:$L$1004,'UPDATE STATS'!$B$5:$B$1004,$B27,'UPDATE STATS'!$T$5:$T$1004,mCrit),""),""))</f>
        <v/>
      </c>
      <c r="L27" s="36">
        <f>IF($B27="","",COUNTIFS('PROGRAM STATUS'!$B$5:$B$654,$B27,'PROGRAM STATUS'!$E$5:$E$654,"Blocked"))</f>
        <v>0</v>
      </c>
    </row>
    <row r="28">
      <c r="B28" s="34" t="str">
        <f>IF(CLIENTS!A6="","",CLIENTS!A6)</f>
        <v>Magnasoft</v>
      </c>
      <c r="C28" s="32" t="n"/>
      <c r="D28" s="35" t="str">
        <f>IF($B28="","",IF(CLIENTS!B6="","",CLIENTS!B6))</f>
        <v>Active</v>
      </c>
      <c r="E28" s="36">
        <f>IF($B28="","",SUMIFS('UPDATE STATS'!$L$5:$L$1004,'UPDATE STATS'!$B$5:$B$1004,$B28,'UPDATE STATS'!$T$5:$T$1004,mCrit))</f>
        <v>0</v>
      </c>
      <c r="F28" s="36">
        <f>IF($B28="","",SUMIFS('UPDATE STATS'!$M$5:$M$1004,'UPDATE STATS'!$B$5:$B$1004,$B28,'UPDATE STATS'!$T$5:$T$1004,mCrit))</f>
        <v>0</v>
      </c>
      <c r="G28" s="36">
        <f>IF($B28="","",SUMIFS('UPDATE STATS'!$N$5:$N$1004,'UPDATE STATS'!$B$5:$B$1004,$B28,'UPDATE STATS'!$T$5:$T$1004,mCrit))</f>
        <v>0</v>
      </c>
      <c r="H28" s="36">
        <f>IF($B28="","",SUMIFS('UPDATE STATS'!$F$5:$F$1004,'UPDATE STATS'!$B$5:$B$1004,$B28,'UPDATE STATS'!$T$5:$T$1004,mCrit))</f>
        <v>0</v>
      </c>
      <c r="I28" s="37" t="str">
        <f>IF($B28="","",IFERROR(SUMIFS('UPDATE STATS'!$G$5:$G$1004,'UPDATE STATS'!$B$5:$B$1004,$B28,'UPDATE STATS'!$T$5:$T$1004,mCrit)/SUMIFS('UPDATE STATS'!$F$5:$F$1004,'UPDATE STATS'!$B$5:$B$1004,$B28,'UPDATE STATS'!$T$5:$T$1004,mCrit),""))</f>
        <v/>
      </c>
      <c r="J28" s="36">
        <f>IF($B28="","",SUMIFS('UPDATE STATS'!$J$5:$J$1004,'UPDATE STATS'!$B$5:$B$1004,$B28,'UPDATE STATS'!$T$5:$T$1004,mCrit))</f>
        <v>0</v>
      </c>
      <c r="K28" s="36" t="str">
        <f>IF($B28="","",IF(SUMIFS('UPDATE STATS'!$J$5:$J$1004,'UPDATE STATS'!$B$5:$B$1004,$B28,'UPDATE STATS'!$T$5:$T$1004,mCrit)&gt;0,IFERROR(SUMIFS('UPDATE STATS'!$J$5:$J$1004,'UPDATE STATS'!$B$5:$B$1004,$B28,'UPDATE STATS'!$T$5:$T$1004,mCrit)/SUMIFS('UPDATE STATS'!$L$5:$L$1004,'UPDATE STATS'!$B$5:$B$1004,$B28,'UPDATE STATS'!$T$5:$T$1004,mCrit),""),""))</f>
        <v/>
      </c>
      <c r="L28" s="36">
        <f>IF($B28="","",COUNTIFS('PROGRAM STATUS'!$B$5:$B$654,$B28,'PROGRAM STATUS'!$E$5:$E$654,"Blocked"))</f>
        <v>0</v>
      </c>
    </row>
    <row r="29">
      <c r="B29" s="34" t="str">
        <f>IF(CLIENTS!A7="","",CLIENTS!A7)</f>
        <v>Eternelle</v>
      </c>
      <c r="C29" s="32" t="n"/>
      <c r="D29" s="35" t="str">
        <f>IF($B29="","",IF(CLIENTS!B7="","",CLIENTS!B7))</f>
        <v>Active</v>
      </c>
      <c r="E29" s="36">
        <f>IF($B29="","",SUMIFS('UPDATE STATS'!$L$5:$L$1004,'UPDATE STATS'!$B$5:$B$1004,$B29,'UPDATE STATS'!$T$5:$T$1004,mCrit))</f>
        <v>0</v>
      </c>
      <c r="F29" s="36">
        <f>IF($B29="","",SUMIFS('UPDATE STATS'!$M$5:$M$1004,'UPDATE STATS'!$B$5:$B$1004,$B29,'UPDATE STATS'!$T$5:$T$1004,mCrit))</f>
        <v>0</v>
      </c>
      <c r="G29" s="36">
        <f>IF($B29="","",SUMIFS('UPDATE STATS'!$N$5:$N$1004,'UPDATE STATS'!$B$5:$B$1004,$B29,'UPDATE STATS'!$T$5:$T$1004,mCrit))</f>
        <v>0</v>
      </c>
      <c r="H29" s="36">
        <f>IF($B29="","",SUMIFS('UPDATE STATS'!$F$5:$F$1004,'UPDATE STATS'!$B$5:$B$1004,$B29,'UPDATE STATS'!$T$5:$T$1004,mCrit))</f>
        <v>0</v>
      </c>
      <c r="I29" s="37" t="str">
        <f>IF($B29="","",IFERROR(SUMIFS('UPDATE STATS'!$G$5:$G$1004,'UPDATE STATS'!$B$5:$B$1004,$B29,'UPDATE STATS'!$T$5:$T$1004,mCrit)/SUMIFS('UPDATE STATS'!$F$5:$F$1004,'UPDATE STATS'!$B$5:$B$1004,$B29,'UPDATE STATS'!$T$5:$T$1004,mCrit),""))</f>
        <v/>
      </c>
      <c r="J29" s="36">
        <f>IF($B29="","",SUMIFS('UPDATE STATS'!$J$5:$J$1004,'UPDATE STATS'!$B$5:$B$1004,$B29,'UPDATE STATS'!$T$5:$T$1004,mCrit))</f>
        <v>0</v>
      </c>
      <c r="K29" s="36" t="str">
        <f>IF($B29="","",IF(SUMIFS('UPDATE STATS'!$J$5:$J$1004,'UPDATE STATS'!$B$5:$B$1004,$B29,'UPDATE STATS'!$T$5:$T$1004,mCrit)&gt;0,IFERROR(SUMIFS('UPDATE STATS'!$J$5:$J$1004,'UPDATE STATS'!$B$5:$B$1004,$B29,'UPDATE STATS'!$T$5:$T$1004,mCrit)/SUMIFS('UPDATE STATS'!$L$5:$L$1004,'UPDATE STATS'!$B$5:$B$1004,$B29,'UPDATE STATS'!$T$5:$T$1004,mCrit),""),""))</f>
        <v/>
      </c>
      <c r="L29" s="36">
        <f>IF($B29="","",COUNTIFS('PROGRAM STATUS'!$B$5:$B$654,$B29,'PROGRAM STATUS'!$E$5:$E$654,"Blocked"))</f>
        <v>0</v>
      </c>
    </row>
    <row r="30">
      <c r="B30" s="34" t="str">
        <f>IF(CLIENTS!A8="","",CLIENTS!A8)</f>
        <v>Vestrics</v>
      </c>
      <c r="C30" s="32" t="n"/>
      <c r="D30" s="35" t="str">
        <f>IF($B30="","",IF(CLIENTS!B8="","",CLIENTS!B8))</f>
        <v>Active</v>
      </c>
      <c r="E30" s="36">
        <f>IF($B30="","",SUMIFS('UPDATE STATS'!$L$5:$L$1004,'UPDATE STATS'!$B$5:$B$1004,$B30,'UPDATE STATS'!$T$5:$T$1004,mCrit))</f>
        <v>0</v>
      </c>
      <c r="F30" s="36">
        <f>IF($B30="","",SUMIFS('UPDATE STATS'!$M$5:$M$1004,'UPDATE STATS'!$B$5:$B$1004,$B30,'UPDATE STATS'!$T$5:$T$1004,mCrit))</f>
        <v>0</v>
      </c>
      <c r="G30" s="36">
        <f>IF($B30="","",SUMIFS('UPDATE STATS'!$N$5:$N$1004,'UPDATE STATS'!$B$5:$B$1004,$B30,'UPDATE STATS'!$T$5:$T$1004,mCrit))</f>
        <v>0</v>
      </c>
      <c r="H30" s="36">
        <f>IF($B30="","",SUMIFS('UPDATE STATS'!$F$5:$F$1004,'UPDATE STATS'!$B$5:$B$1004,$B30,'UPDATE STATS'!$T$5:$T$1004,mCrit))</f>
        <v>0</v>
      </c>
      <c r="I30" s="37" t="str">
        <f>IF($B30="","",IFERROR(SUMIFS('UPDATE STATS'!$G$5:$G$1004,'UPDATE STATS'!$B$5:$B$1004,$B30,'UPDATE STATS'!$T$5:$T$1004,mCrit)/SUMIFS('UPDATE STATS'!$F$5:$F$1004,'UPDATE STATS'!$B$5:$B$1004,$B30,'UPDATE STATS'!$T$5:$T$1004,mCrit),""))</f>
        <v/>
      </c>
      <c r="J30" s="36">
        <f>IF($B30="","",SUMIFS('UPDATE STATS'!$J$5:$J$1004,'UPDATE STATS'!$B$5:$B$1004,$B30,'UPDATE STATS'!$T$5:$T$1004,mCrit))</f>
        <v>0</v>
      </c>
      <c r="K30" s="36" t="str">
        <f>IF($B30="","",IF(SUMIFS('UPDATE STATS'!$J$5:$J$1004,'UPDATE STATS'!$B$5:$B$1004,$B30,'UPDATE STATS'!$T$5:$T$1004,mCrit)&gt;0,IFERROR(SUMIFS('UPDATE STATS'!$J$5:$J$1004,'UPDATE STATS'!$B$5:$B$1004,$B30,'UPDATE STATS'!$T$5:$T$1004,mCrit)/SUMIFS('UPDATE STATS'!$L$5:$L$1004,'UPDATE STATS'!$B$5:$B$1004,$B30,'UPDATE STATS'!$T$5:$T$1004,mCrit),""),""))</f>
        <v/>
      </c>
      <c r="L30" s="36">
        <f>IF($B30="","",COUNTIFS('PROGRAM STATUS'!$B$5:$B$654,$B30,'PROGRAM STATUS'!$E$5:$E$654,"Blocked"))</f>
        <v>0</v>
      </c>
    </row>
    <row r="31">
      <c r="B31" s="34" t="str">
        <f>IF(CLIENTS!A9="","",CLIENTS!A9)</f>
        <v>Lenovo</v>
      </c>
      <c r="C31" s="32" t="n"/>
      <c r="D31" s="35" t="str">
        <f>IF($B31="","",IF(CLIENTS!B9="","",CLIENTS!B9))</f>
        <v>Active</v>
      </c>
      <c r="E31" s="36">
        <f>IF($B31="","",SUMIFS('UPDATE STATS'!$L$5:$L$1004,'UPDATE STATS'!$B$5:$B$1004,$B31,'UPDATE STATS'!$T$5:$T$1004,mCrit))</f>
        <v>0</v>
      </c>
      <c r="F31" s="36">
        <f>IF($B31="","",SUMIFS('UPDATE STATS'!$M$5:$M$1004,'UPDATE STATS'!$B$5:$B$1004,$B31,'UPDATE STATS'!$T$5:$T$1004,mCrit))</f>
        <v>0</v>
      </c>
      <c r="G31" s="36">
        <f>IF($B31="","",SUMIFS('UPDATE STATS'!$N$5:$N$1004,'UPDATE STATS'!$B$5:$B$1004,$B31,'UPDATE STATS'!$T$5:$T$1004,mCrit))</f>
        <v>0</v>
      </c>
      <c r="H31" s="36">
        <f>IF($B31="","",SUMIFS('UPDATE STATS'!$F$5:$F$1004,'UPDATE STATS'!$B$5:$B$1004,$B31,'UPDATE STATS'!$T$5:$T$1004,mCrit))</f>
        <v>0</v>
      </c>
      <c r="I31" s="37" t="str">
        <f>IF($B31="","",IFERROR(SUMIFS('UPDATE STATS'!$G$5:$G$1004,'UPDATE STATS'!$B$5:$B$1004,$B31,'UPDATE STATS'!$T$5:$T$1004,mCrit)/SUMIFS('UPDATE STATS'!$F$5:$F$1004,'UPDATE STATS'!$B$5:$B$1004,$B31,'UPDATE STATS'!$T$5:$T$1004,mCrit),""))</f>
        <v/>
      </c>
      <c r="J31" s="36">
        <f>IF($B31="","",SUMIFS('UPDATE STATS'!$J$5:$J$1004,'UPDATE STATS'!$B$5:$B$1004,$B31,'UPDATE STATS'!$T$5:$T$1004,mCrit))</f>
        <v>0</v>
      </c>
      <c r="K31" s="36" t="str">
        <f>IF($B31="","",IF(SUMIFS('UPDATE STATS'!$J$5:$J$1004,'UPDATE STATS'!$B$5:$B$1004,$B31,'UPDATE STATS'!$T$5:$T$1004,mCrit)&gt;0,IFERROR(SUMIFS('UPDATE STATS'!$J$5:$J$1004,'UPDATE STATS'!$B$5:$B$1004,$B31,'UPDATE STATS'!$T$5:$T$1004,mCrit)/SUMIFS('UPDATE STATS'!$L$5:$L$1004,'UPDATE STATS'!$B$5:$B$1004,$B31,'UPDATE STATS'!$T$5:$T$1004,mCrit),""),""))</f>
        <v/>
      </c>
      <c r="L31" s="36">
        <f>IF($B31="","",COUNTIFS('PROGRAM STATUS'!$B$5:$B$654,$B31,'PROGRAM STATUS'!$E$5:$E$654,"Blocked"))</f>
        <v>0</v>
      </c>
    </row>
    <row r="32">
      <c r="B32" s="34" t="str">
        <f>IF(CLIENTS!A10="","",CLIENTS!A10)</f>
        <v>SAP</v>
      </c>
      <c r="C32" s="32" t="n"/>
      <c r="D32" s="35" t="str">
        <f>IF($B32="","",IF(CLIENTS!B10="","",CLIENTS!B10))</f>
        <v>Active</v>
      </c>
      <c r="E32" s="36">
        <f>IF($B32="","",SUMIFS('UPDATE STATS'!$L$5:$L$1004,'UPDATE STATS'!$B$5:$B$1004,$B32,'UPDATE STATS'!$T$5:$T$1004,mCrit))</f>
        <v>0</v>
      </c>
      <c r="F32" s="36">
        <f>IF($B32="","",SUMIFS('UPDATE STATS'!$M$5:$M$1004,'UPDATE STATS'!$B$5:$B$1004,$B32,'UPDATE STATS'!$T$5:$T$1004,mCrit))</f>
        <v>0</v>
      </c>
      <c r="G32" s="36">
        <f>IF($B32="","",SUMIFS('UPDATE STATS'!$N$5:$N$1004,'UPDATE STATS'!$B$5:$B$1004,$B32,'UPDATE STATS'!$T$5:$T$1004,mCrit))</f>
        <v>0</v>
      </c>
      <c r="H32" s="36">
        <f>IF($B32="","",SUMIFS('UPDATE STATS'!$F$5:$F$1004,'UPDATE STATS'!$B$5:$B$1004,$B32,'UPDATE STATS'!$T$5:$T$1004,mCrit))</f>
        <v>0</v>
      </c>
      <c r="I32" s="37" t="str">
        <f>IF($B32="","",IFERROR(SUMIFS('UPDATE STATS'!$G$5:$G$1004,'UPDATE STATS'!$B$5:$B$1004,$B32,'UPDATE STATS'!$T$5:$T$1004,mCrit)/SUMIFS('UPDATE STATS'!$F$5:$F$1004,'UPDATE STATS'!$B$5:$B$1004,$B32,'UPDATE STATS'!$T$5:$T$1004,mCrit),""))</f>
        <v/>
      </c>
      <c r="J32" s="36">
        <f>IF($B32="","",SUMIFS('UPDATE STATS'!$J$5:$J$1004,'UPDATE STATS'!$B$5:$B$1004,$B32,'UPDATE STATS'!$T$5:$T$1004,mCrit))</f>
        <v>0</v>
      </c>
      <c r="K32" s="36" t="str">
        <f>IF($B32="","",IF(SUMIFS('UPDATE STATS'!$J$5:$J$1004,'UPDATE STATS'!$B$5:$B$1004,$B32,'UPDATE STATS'!$T$5:$T$1004,mCrit)&gt;0,IFERROR(SUMIFS('UPDATE STATS'!$J$5:$J$1004,'UPDATE STATS'!$B$5:$B$1004,$B32,'UPDATE STATS'!$T$5:$T$1004,mCrit)/SUMIFS('UPDATE STATS'!$L$5:$L$1004,'UPDATE STATS'!$B$5:$B$1004,$B32,'UPDATE STATS'!$T$5:$T$1004,mCrit),""),""))</f>
        <v/>
      </c>
      <c r="L32" s="36">
        <f>IF($B32="","",COUNTIFS('PROGRAM STATUS'!$B$5:$B$654,$B32,'PROGRAM STATUS'!$E$5:$E$654,"Blocked"))</f>
        <v>0</v>
      </c>
    </row>
    <row r="33">
      <c r="B33" s="34" t="str">
        <f>IF(CLIENTS!A11="","",CLIENTS!A11)</f>
        <v>Tata Communications</v>
      </c>
      <c r="C33" s="32" t="n"/>
      <c r="D33" s="35" t="str">
        <f>IF($B33="","",IF(CLIENTS!B11="","",CLIENTS!B11))</f>
        <v>Active</v>
      </c>
      <c r="E33" s="36">
        <f>IF($B33="","",SUMIFS('UPDATE STATS'!$L$5:$L$1004,'UPDATE STATS'!$B$5:$B$1004,$B33,'UPDATE STATS'!$T$5:$T$1004,mCrit))</f>
        <v>0</v>
      </c>
      <c r="F33" s="36">
        <f>IF($B33="","",SUMIFS('UPDATE STATS'!$M$5:$M$1004,'UPDATE STATS'!$B$5:$B$1004,$B33,'UPDATE STATS'!$T$5:$T$1004,mCrit))</f>
        <v>0</v>
      </c>
      <c r="G33" s="36">
        <f>IF($B33="","",SUMIFS('UPDATE STATS'!$N$5:$N$1004,'UPDATE STATS'!$B$5:$B$1004,$B33,'UPDATE STATS'!$T$5:$T$1004,mCrit))</f>
        <v>0</v>
      </c>
      <c r="H33" s="36">
        <f>IF($B33="","",SUMIFS('UPDATE STATS'!$F$5:$F$1004,'UPDATE STATS'!$B$5:$B$1004,$B33,'UPDATE STATS'!$T$5:$T$1004,mCrit))</f>
        <v>0</v>
      </c>
      <c r="I33" s="37" t="str">
        <f>IF($B33="","",IFERROR(SUMIFS('UPDATE STATS'!$G$5:$G$1004,'UPDATE STATS'!$B$5:$B$1004,$B33,'UPDATE STATS'!$T$5:$T$1004,mCrit)/SUMIFS('UPDATE STATS'!$F$5:$F$1004,'UPDATE STATS'!$B$5:$B$1004,$B33,'UPDATE STATS'!$T$5:$T$1004,mCrit),""))</f>
        <v/>
      </c>
      <c r="J33" s="36">
        <f>IF($B33="","",SUMIFS('UPDATE STATS'!$J$5:$J$1004,'UPDATE STATS'!$B$5:$B$1004,$B33,'UPDATE STATS'!$T$5:$T$1004,mCrit))</f>
        <v>0</v>
      </c>
      <c r="K33" s="36" t="str">
        <f>IF($B33="","",IF(SUMIFS('UPDATE STATS'!$J$5:$J$1004,'UPDATE STATS'!$B$5:$B$1004,$B33,'UPDATE STATS'!$T$5:$T$1004,mCrit)&gt;0,IFERROR(SUMIFS('UPDATE STATS'!$J$5:$J$1004,'UPDATE STATS'!$B$5:$B$1004,$B33,'UPDATE STATS'!$T$5:$T$1004,mCrit)/SUMIFS('UPDATE STATS'!$L$5:$L$1004,'UPDATE STATS'!$B$5:$B$1004,$B33,'UPDATE STATS'!$T$5:$T$1004,mCrit),""),""))</f>
        <v/>
      </c>
      <c r="L33" s="36">
        <f>IF($B33="","",COUNTIFS('PROGRAM STATUS'!$B$5:$B$654,$B33,'PROGRAM STATUS'!$E$5:$E$654,"Blocked"))</f>
        <v>0</v>
      </c>
    </row>
    <row r="34">
      <c r="B34" s="34" t="str">
        <f>IF(CLIENTS!A12="","",CLIENTS!A12)</f>
        <v>Tata Communications MECCA</v>
      </c>
      <c r="C34" s="32" t="n"/>
      <c r="D34" s="35" t="str">
        <f>IF($B34="","",IF(CLIENTS!B12="","",CLIENTS!B12))</f>
        <v>Active</v>
      </c>
      <c r="E34" s="36">
        <f>IF($B34="","",SUMIFS('UPDATE STATS'!$L$5:$L$1004,'UPDATE STATS'!$B$5:$B$1004,$B34,'UPDATE STATS'!$T$5:$T$1004,mCrit))</f>
        <v>0</v>
      </c>
      <c r="F34" s="36">
        <f>IF($B34="","",SUMIFS('UPDATE STATS'!$M$5:$M$1004,'UPDATE STATS'!$B$5:$B$1004,$B34,'UPDATE STATS'!$T$5:$T$1004,mCrit))</f>
        <v>0</v>
      </c>
      <c r="G34" s="36">
        <f>IF($B34="","",SUMIFS('UPDATE STATS'!$N$5:$N$1004,'UPDATE STATS'!$B$5:$B$1004,$B34,'UPDATE STATS'!$T$5:$T$1004,mCrit))</f>
        <v>0</v>
      </c>
      <c r="H34" s="36">
        <f>IF($B34="","",SUMIFS('UPDATE STATS'!$F$5:$F$1004,'UPDATE STATS'!$B$5:$B$1004,$B34,'UPDATE STATS'!$T$5:$T$1004,mCrit))</f>
        <v>0</v>
      </c>
      <c r="I34" s="37" t="str">
        <f>IF($B34="","",IFERROR(SUMIFS('UPDATE STATS'!$G$5:$G$1004,'UPDATE STATS'!$B$5:$B$1004,$B34,'UPDATE STATS'!$T$5:$T$1004,mCrit)/SUMIFS('UPDATE STATS'!$F$5:$F$1004,'UPDATE STATS'!$B$5:$B$1004,$B34,'UPDATE STATS'!$T$5:$T$1004,mCrit),""))</f>
        <v/>
      </c>
      <c r="J34" s="36">
        <f>IF($B34="","",SUMIFS('UPDATE STATS'!$J$5:$J$1004,'UPDATE STATS'!$B$5:$B$1004,$B34,'UPDATE STATS'!$T$5:$T$1004,mCrit))</f>
        <v>0</v>
      </c>
      <c r="K34" s="36" t="str">
        <f>IF($B34="","",IF(SUMIFS('UPDATE STATS'!$J$5:$J$1004,'UPDATE STATS'!$B$5:$B$1004,$B34,'UPDATE STATS'!$T$5:$T$1004,mCrit)&gt;0,IFERROR(SUMIFS('UPDATE STATS'!$J$5:$J$1004,'UPDATE STATS'!$B$5:$B$1004,$B34,'UPDATE STATS'!$T$5:$T$1004,mCrit)/SUMIFS('UPDATE STATS'!$L$5:$L$1004,'UPDATE STATS'!$B$5:$B$1004,$B34,'UPDATE STATS'!$T$5:$T$1004,mCrit),""),""))</f>
        <v/>
      </c>
      <c r="L34" s="36">
        <f>IF($B34="","",COUNTIFS('PROGRAM STATUS'!$B$5:$B$654,$B34,'PROGRAM STATUS'!$E$5:$E$654,"Blocked"))</f>
        <v>0</v>
      </c>
    </row>
    <row r="35">
      <c r="B35" s="34" t="str">
        <f>IF(CLIENTS!A13="","",CLIENTS!A13)</f>
        <v>Salesforce</v>
      </c>
      <c r="C35" s="32" t="n"/>
      <c r="D35" s="35" t="str">
        <f>IF($B35="","",IF(CLIENTS!B13="","",CLIENTS!B13))</f>
        <v>Active</v>
      </c>
      <c r="E35" s="36">
        <f>IF($B35="","",SUMIFS('UPDATE STATS'!$L$5:$L$1004,'UPDATE STATS'!$B$5:$B$1004,$B35,'UPDATE STATS'!$T$5:$T$1004,mCrit))</f>
        <v>0</v>
      </c>
      <c r="F35" s="36">
        <f>IF($B35="","",SUMIFS('UPDATE STATS'!$M$5:$M$1004,'UPDATE STATS'!$B$5:$B$1004,$B35,'UPDATE STATS'!$T$5:$T$1004,mCrit))</f>
        <v>0</v>
      </c>
      <c r="G35" s="36">
        <f>IF($B35="","",SUMIFS('UPDATE STATS'!$N$5:$N$1004,'UPDATE STATS'!$B$5:$B$1004,$B35,'UPDATE STATS'!$T$5:$T$1004,mCrit))</f>
        <v>0</v>
      </c>
      <c r="H35" s="36">
        <f>IF($B35="","",SUMIFS('UPDATE STATS'!$F$5:$F$1004,'UPDATE STATS'!$B$5:$B$1004,$B35,'UPDATE STATS'!$T$5:$T$1004,mCrit))</f>
        <v>0</v>
      </c>
      <c r="I35" s="37" t="str">
        <f>IF($B35="","",IFERROR(SUMIFS('UPDATE STATS'!$G$5:$G$1004,'UPDATE STATS'!$B$5:$B$1004,$B35,'UPDATE STATS'!$T$5:$T$1004,mCrit)/SUMIFS('UPDATE STATS'!$F$5:$F$1004,'UPDATE STATS'!$B$5:$B$1004,$B35,'UPDATE STATS'!$T$5:$T$1004,mCrit),""))</f>
        <v/>
      </c>
      <c r="J35" s="36">
        <f>IF($B35="","",SUMIFS('UPDATE STATS'!$J$5:$J$1004,'UPDATE STATS'!$B$5:$B$1004,$B35,'UPDATE STATS'!$T$5:$T$1004,mCrit))</f>
        <v>0</v>
      </c>
      <c r="K35" s="36" t="str">
        <f>IF($B35="","",IF(SUMIFS('UPDATE STATS'!$J$5:$J$1004,'UPDATE STATS'!$B$5:$B$1004,$B35,'UPDATE STATS'!$T$5:$T$1004,mCrit)&gt;0,IFERROR(SUMIFS('UPDATE STATS'!$J$5:$J$1004,'UPDATE STATS'!$B$5:$B$1004,$B35,'UPDATE STATS'!$T$5:$T$1004,mCrit)/SUMIFS('UPDATE STATS'!$L$5:$L$1004,'UPDATE STATS'!$B$5:$B$1004,$B35,'UPDATE STATS'!$T$5:$T$1004,mCrit),""),""))</f>
        <v/>
      </c>
      <c r="L35" s="36">
        <f>IF($B35="","",COUNTIFS('PROGRAM STATUS'!$B$5:$B$654,$B35,'PROGRAM STATUS'!$E$5:$E$654,"Blocked"))</f>
        <v>0</v>
      </c>
    </row>
    <row r="36">
      <c r="B36" s="34" t="str">
        <f>IF(CLIENTS!A14="","",CLIENTS!A14)</f>
        <v>Ruckus Networks</v>
      </c>
      <c r="C36" s="32" t="n"/>
      <c r="D36" s="35" t="str">
        <f>IF($B36="","",IF(CLIENTS!B14="","",CLIENTS!B14))</f>
        <v>Active</v>
      </c>
      <c r="E36" s="36">
        <f>IF($B36="","",SUMIFS('UPDATE STATS'!$L$5:$L$1004,'UPDATE STATS'!$B$5:$B$1004,$B36,'UPDATE STATS'!$T$5:$T$1004,mCrit))</f>
        <v>0</v>
      </c>
      <c r="F36" s="36">
        <f>IF($B36="","",SUMIFS('UPDATE STATS'!$M$5:$M$1004,'UPDATE STATS'!$B$5:$B$1004,$B36,'UPDATE STATS'!$T$5:$T$1004,mCrit))</f>
        <v>0</v>
      </c>
      <c r="G36" s="36">
        <f>IF($B36="","",SUMIFS('UPDATE STATS'!$N$5:$N$1004,'UPDATE STATS'!$B$5:$B$1004,$B36,'UPDATE STATS'!$T$5:$T$1004,mCrit))</f>
        <v>0</v>
      </c>
      <c r="H36" s="36">
        <f>IF($B36="","",SUMIFS('UPDATE STATS'!$F$5:$F$1004,'UPDATE STATS'!$B$5:$B$1004,$B36,'UPDATE STATS'!$T$5:$T$1004,mCrit))</f>
        <v>0</v>
      </c>
      <c r="I36" s="37" t="str">
        <f>IF($B36="","",IFERROR(SUMIFS('UPDATE STATS'!$G$5:$G$1004,'UPDATE STATS'!$B$5:$B$1004,$B36,'UPDATE STATS'!$T$5:$T$1004,mCrit)/SUMIFS('UPDATE STATS'!$F$5:$F$1004,'UPDATE STATS'!$B$5:$B$1004,$B36,'UPDATE STATS'!$T$5:$T$1004,mCrit),""))</f>
        <v/>
      </c>
      <c r="J36" s="36">
        <f>IF($B36="","",SUMIFS('UPDATE STATS'!$J$5:$J$1004,'UPDATE STATS'!$B$5:$B$1004,$B36,'UPDATE STATS'!$T$5:$T$1004,mCrit))</f>
        <v>0</v>
      </c>
      <c r="K36" s="36" t="str">
        <f>IF($B36="","",IF(SUMIFS('UPDATE STATS'!$J$5:$J$1004,'UPDATE STATS'!$B$5:$B$1004,$B36,'UPDATE STATS'!$T$5:$T$1004,mCrit)&gt;0,IFERROR(SUMIFS('UPDATE STATS'!$J$5:$J$1004,'UPDATE STATS'!$B$5:$B$1004,$B36,'UPDATE STATS'!$T$5:$T$1004,mCrit)/SUMIFS('UPDATE STATS'!$L$5:$L$1004,'UPDATE STATS'!$B$5:$B$1004,$B36,'UPDATE STATS'!$T$5:$T$1004,mCrit),""),""))</f>
        <v/>
      </c>
      <c r="L36" s="36">
        <f>IF($B36="","",COUNTIFS('PROGRAM STATUS'!$B$5:$B$654,$B36,'PROGRAM STATUS'!$E$5:$E$654,"Blocked"))</f>
        <v>0</v>
      </c>
    </row>
    <row r="37">
      <c r="B37" s="34" t="str">
        <f>IF(CLIENTS!A15="","",CLIENTS!A15)</f>
        <v>Google Chrome Enterprise</v>
      </c>
      <c r="C37" s="32" t="n"/>
      <c r="D37" s="35" t="str">
        <f>IF($B37="","",IF(CLIENTS!B15="","",CLIENTS!B15))</f>
        <v>Active</v>
      </c>
      <c r="E37" s="36">
        <f>IF($B37="","",SUMIFS('UPDATE STATS'!$L$5:$L$1004,'UPDATE STATS'!$B$5:$B$1004,$B37,'UPDATE STATS'!$T$5:$T$1004,mCrit))</f>
        <v>0</v>
      </c>
      <c r="F37" s="36">
        <f>IF($B37="","",SUMIFS('UPDATE STATS'!$M$5:$M$1004,'UPDATE STATS'!$B$5:$B$1004,$B37,'UPDATE STATS'!$T$5:$T$1004,mCrit))</f>
        <v>0</v>
      </c>
      <c r="G37" s="36">
        <f>IF($B37="","",SUMIFS('UPDATE STATS'!$N$5:$N$1004,'UPDATE STATS'!$B$5:$B$1004,$B37,'UPDATE STATS'!$T$5:$T$1004,mCrit))</f>
        <v>0</v>
      </c>
      <c r="H37" s="36">
        <f>IF($B37="","",SUMIFS('UPDATE STATS'!$F$5:$F$1004,'UPDATE STATS'!$B$5:$B$1004,$B37,'UPDATE STATS'!$T$5:$T$1004,mCrit))</f>
        <v>0</v>
      </c>
      <c r="I37" s="37" t="str">
        <f>IF($B37="","",IFERROR(SUMIFS('UPDATE STATS'!$G$5:$G$1004,'UPDATE STATS'!$B$5:$B$1004,$B37,'UPDATE STATS'!$T$5:$T$1004,mCrit)/SUMIFS('UPDATE STATS'!$F$5:$F$1004,'UPDATE STATS'!$B$5:$B$1004,$B37,'UPDATE STATS'!$T$5:$T$1004,mCrit),""))</f>
        <v/>
      </c>
      <c r="J37" s="36">
        <f>IF($B37="","",SUMIFS('UPDATE STATS'!$J$5:$J$1004,'UPDATE STATS'!$B$5:$B$1004,$B37,'UPDATE STATS'!$T$5:$T$1004,mCrit))</f>
        <v>0</v>
      </c>
      <c r="K37" s="36" t="str">
        <f>IF($B37="","",IF(SUMIFS('UPDATE STATS'!$J$5:$J$1004,'UPDATE STATS'!$B$5:$B$1004,$B37,'UPDATE STATS'!$T$5:$T$1004,mCrit)&gt;0,IFERROR(SUMIFS('UPDATE STATS'!$J$5:$J$1004,'UPDATE STATS'!$B$5:$B$1004,$B37,'UPDATE STATS'!$T$5:$T$1004,mCrit)/SUMIFS('UPDATE STATS'!$L$5:$L$1004,'UPDATE STATS'!$B$5:$B$1004,$B37,'UPDATE STATS'!$T$5:$T$1004,mCrit),""),""))</f>
        <v/>
      </c>
      <c r="L37" s="36">
        <f>IF($B37="","",COUNTIFS('PROGRAM STATUS'!$B$5:$B$654,$B37,'PROGRAM STATUS'!$E$5:$E$654,"Blocked"))</f>
        <v>0</v>
      </c>
    </row>
    <row r="38">
      <c r="B38" s="34" t="str">
        <f>IF(CLIENTS!A16="","",CLIENTS!A16)</f>
        <v>Equinix</v>
      </c>
      <c r="C38" s="32" t="n"/>
      <c r="D38" s="35" t="str">
        <f>IF($B38="","",IF(CLIENTS!B16="","",CLIENTS!B16))</f>
        <v>Active</v>
      </c>
      <c r="E38" s="36">
        <f>IF($B38="","",SUMIFS('UPDATE STATS'!$L$5:$L$1004,'UPDATE STATS'!$B$5:$B$1004,$B38,'UPDATE STATS'!$T$5:$T$1004,mCrit))</f>
        <v>0</v>
      </c>
      <c r="F38" s="36">
        <f>IF($B38="","",SUMIFS('UPDATE STATS'!$M$5:$M$1004,'UPDATE STATS'!$B$5:$B$1004,$B38,'UPDATE STATS'!$T$5:$T$1004,mCrit))</f>
        <v>0</v>
      </c>
      <c r="G38" s="36">
        <f>IF($B38="","",SUMIFS('UPDATE STATS'!$N$5:$N$1004,'UPDATE STATS'!$B$5:$B$1004,$B38,'UPDATE STATS'!$T$5:$T$1004,mCrit))</f>
        <v>0</v>
      </c>
      <c r="H38" s="36">
        <f>IF($B38="","",SUMIFS('UPDATE STATS'!$F$5:$F$1004,'UPDATE STATS'!$B$5:$B$1004,$B38,'UPDATE STATS'!$T$5:$T$1004,mCrit))</f>
        <v>0</v>
      </c>
      <c r="I38" s="37" t="str">
        <f>IF($B38="","",IFERROR(SUMIFS('UPDATE STATS'!$G$5:$G$1004,'UPDATE STATS'!$B$5:$B$1004,$B38,'UPDATE STATS'!$T$5:$T$1004,mCrit)/SUMIFS('UPDATE STATS'!$F$5:$F$1004,'UPDATE STATS'!$B$5:$B$1004,$B38,'UPDATE STATS'!$T$5:$T$1004,mCrit),""))</f>
        <v/>
      </c>
      <c r="J38" s="36">
        <f>IF($B38="","",SUMIFS('UPDATE STATS'!$J$5:$J$1004,'UPDATE STATS'!$B$5:$B$1004,$B38,'UPDATE STATS'!$T$5:$T$1004,mCrit))</f>
        <v>0</v>
      </c>
      <c r="K38" s="36" t="str">
        <f>IF($B38="","",IF(SUMIFS('UPDATE STATS'!$J$5:$J$1004,'UPDATE STATS'!$B$5:$B$1004,$B38,'UPDATE STATS'!$T$5:$T$1004,mCrit)&gt;0,IFERROR(SUMIFS('UPDATE STATS'!$J$5:$J$1004,'UPDATE STATS'!$B$5:$B$1004,$B38,'UPDATE STATS'!$T$5:$T$1004,mCrit)/SUMIFS('UPDATE STATS'!$L$5:$L$1004,'UPDATE STATS'!$B$5:$B$1004,$B38,'UPDATE STATS'!$T$5:$T$1004,mCrit),""),""))</f>
        <v/>
      </c>
      <c r="L38" s="36">
        <f>IF($B38="","",COUNTIFS('PROGRAM STATUS'!$B$5:$B$654,$B38,'PROGRAM STATUS'!$E$5:$E$654,"Blocked"))</f>
        <v>0</v>
      </c>
    </row>
    <row r="39">
      <c r="B39" s="34" t="str">
        <f>IF(CLIENTS!A17="","",CLIENTS!A17)</f>
        <v>Sonalika Tractors</v>
      </c>
      <c r="C39" s="32" t="n"/>
      <c r="D39" s="35" t="str">
        <f>IF($B39="","",IF(CLIENTS!B17="","",CLIENTS!B17))</f>
        <v>Pipeline</v>
      </c>
      <c r="E39" s="36">
        <f>IF($B39="","",SUMIFS('UPDATE STATS'!$L$5:$L$1004,'UPDATE STATS'!$B$5:$B$1004,$B39,'UPDATE STATS'!$T$5:$T$1004,mCrit))</f>
        <v>0</v>
      </c>
      <c r="F39" s="36">
        <f>IF($B39="","",SUMIFS('UPDATE STATS'!$M$5:$M$1004,'UPDATE STATS'!$B$5:$B$1004,$B39,'UPDATE STATS'!$T$5:$T$1004,mCrit))</f>
        <v>0</v>
      </c>
      <c r="G39" s="36">
        <f>IF($B39="","",SUMIFS('UPDATE STATS'!$N$5:$N$1004,'UPDATE STATS'!$B$5:$B$1004,$B39,'UPDATE STATS'!$T$5:$T$1004,mCrit))</f>
        <v>0</v>
      </c>
      <c r="H39" s="36">
        <f>IF($B39="","",SUMIFS('UPDATE STATS'!$F$5:$F$1004,'UPDATE STATS'!$B$5:$B$1004,$B39,'UPDATE STATS'!$T$5:$T$1004,mCrit))</f>
        <v>0</v>
      </c>
      <c r="I39" s="37" t="str">
        <f>IF($B39="","",IFERROR(SUMIFS('UPDATE STATS'!$G$5:$G$1004,'UPDATE STATS'!$B$5:$B$1004,$B39,'UPDATE STATS'!$T$5:$T$1004,mCrit)/SUMIFS('UPDATE STATS'!$F$5:$F$1004,'UPDATE STATS'!$B$5:$B$1004,$B39,'UPDATE STATS'!$T$5:$T$1004,mCrit),""))</f>
        <v/>
      </c>
      <c r="J39" s="36">
        <f>IF($B39="","",SUMIFS('UPDATE STATS'!$J$5:$J$1004,'UPDATE STATS'!$B$5:$B$1004,$B39,'UPDATE STATS'!$T$5:$T$1004,mCrit))</f>
        <v>0</v>
      </c>
      <c r="K39" s="36" t="str">
        <f>IF($B39="","",IF(SUMIFS('UPDATE STATS'!$J$5:$J$1004,'UPDATE STATS'!$B$5:$B$1004,$B39,'UPDATE STATS'!$T$5:$T$1004,mCrit)&gt;0,IFERROR(SUMIFS('UPDATE STATS'!$J$5:$J$1004,'UPDATE STATS'!$B$5:$B$1004,$B39,'UPDATE STATS'!$T$5:$T$1004,mCrit)/SUMIFS('UPDATE STATS'!$L$5:$L$1004,'UPDATE STATS'!$B$5:$B$1004,$B39,'UPDATE STATS'!$T$5:$T$1004,mCrit),""),""))</f>
        <v/>
      </c>
      <c r="L39" s="36">
        <f>IF($B39="","",COUNTIFS('PROGRAM STATUS'!$B$5:$B$654,$B39,'PROGRAM STATUS'!$E$5:$E$654,"Blocked"))</f>
        <v>0</v>
      </c>
    </row>
    <row r="40">
      <c r="B40" s="34" t="str">
        <f>IF(CLIENTS!A18="","",CLIENTS!A18)</f>
        <v>AMEX</v>
      </c>
      <c r="C40" s="32" t="n"/>
      <c r="D40" s="35" t="str">
        <f>IF($B40="","",IF(CLIENTS!B18="","",CLIENTS!B18))</f>
        <v>Pipeline</v>
      </c>
      <c r="E40" s="36">
        <f>IF($B40="","",SUMIFS('UPDATE STATS'!$L$5:$L$1004,'UPDATE STATS'!$B$5:$B$1004,$B40,'UPDATE STATS'!$T$5:$T$1004,mCrit))</f>
        <v>0</v>
      </c>
      <c r="F40" s="36">
        <f>IF($B40="","",SUMIFS('UPDATE STATS'!$M$5:$M$1004,'UPDATE STATS'!$B$5:$B$1004,$B40,'UPDATE STATS'!$T$5:$T$1004,mCrit))</f>
        <v>0</v>
      </c>
      <c r="G40" s="36">
        <f>IF($B40="","",SUMIFS('UPDATE STATS'!$N$5:$N$1004,'UPDATE STATS'!$B$5:$B$1004,$B40,'UPDATE STATS'!$T$5:$T$1004,mCrit))</f>
        <v>0</v>
      </c>
      <c r="H40" s="36">
        <f>IF($B40="","",SUMIFS('UPDATE STATS'!$F$5:$F$1004,'UPDATE STATS'!$B$5:$B$1004,$B40,'UPDATE STATS'!$T$5:$T$1004,mCrit))</f>
        <v>0</v>
      </c>
      <c r="I40" s="37" t="str">
        <f>IF($B40="","",IFERROR(SUMIFS('UPDATE STATS'!$G$5:$G$1004,'UPDATE STATS'!$B$5:$B$1004,$B40,'UPDATE STATS'!$T$5:$T$1004,mCrit)/SUMIFS('UPDATE STATS'!$F$5:$F$1004,'UPDATE STATS'!$B$5:$B$1004,$B40,'UPDATE STATS'!$T$5:$T$1004,mCrit),""))</f>
        <v/>
      </c>
      <c r="J40" s="36">
        <f>IF($B40="","",SUMIFS('UPDATE STATS'!$J$5:$J$1004,'UPDATE STATS'!$B$5:$B$1004,$B40,'UPDATE STATS'!$T$5:$T$1004,mCrit))</f>
        <v>0</v>
      </c>
      <c r="K40" s="36" t="str">
        <f>IF($B40="","",IF(SUMIFS('UPDATE STATS'!$J$5:$J$1004,'UPDATE STATS'!$B$5:$B$1004,$B40,'UPDATE STATS'!$T$5:$T$1004,mCrit)&gt;0,IFERROR(SUMIFS('UPDATE STATS'!$J$5:$J$1004,'UPDATE STATS'!$B$5:$B$1004,$B40,'UPDATE STATS'!$T$5:$T$1004,mCrit)/SUMIFS('UPDATE STATS'!$L$5:$L$1004,'UPDATE STATS'!$B$5:$B$1004,$B40,'UPDATE STATS'!$T$5:$T$1004,mCrit),""),""))</f>
        <v/>
      </c>
      <c r="L40" s="36">
        <f>IF($B40="","",COUNTIFS('PROGRAM STATUS'!$B$5:$B$654,$B40,'PROGRAM STATUS'!$E$5:$E$654,"Blocked"))</f>
        <v>0</v>
      </c>
    </row>
    <row r="41">
      <c r="B41" s="34" t="str">
        <f>IF(CLIENTS!A19="","",CLIENTS!A19)</f>
        <v>Marg Business Transformation</v>
      </c>
      <c r="C41" s="32" t="n"/>
      <c r="D41" s="35" t="str">
        <f>IF($B41="","",IF(CLIENTS!B19="","",CLIENTS!B19))</f>
        <v>Ended</v>
      </c>
      <c r="E41" s="36">
        <f>IF($B41="","",SUMIFS('UPDATE STATS'!$L$5:$L$1004,'UPDATE STATS'!$B$5:$B$1004,$B41,'UPDATE STATS'!$T$5:$T$1004,mCrit))</f>
        <v>0</v>
      </c>
      <c r="F41" s="36">
        <f>IF($B41="","",SUMIFS('UPDATE STATS'!$M$5:$M$1004,'UPDATE STATS'!$B$5:$B$1004,$B41,'UPDATE STATS'!$T$5:$T$1004,mCrit))</f>
        <v>0</v>
      </c>
      <c r="G41" s="36">
        <f>IF($B41="","",SUMIFS('UPDATE STATS'!$N$5:$N$1004,'UPDATE STATS'!$B$5:$B$1004,$B41,'UPDATE STATS'!$T$5:$T$1004,mCrit))</f>
        <v>0</v>
      </c>
      <c r="H41" s="36">
        <f>IF($B41="","",SUMIFS('UPDATE STATS'!$F$5:$F$1004,'UPDATE STATS'!$B$5:$B$1004,$B41,'UPDATE STATS'!$T$5:$T$1004,mCrit))</f>
        <v>0</v>
      </c>
      <c r="I41" s="37" t="str">
        <f>IF($B41="","",IFERROR(SUMIFS('UPDATE STATS'!$G$5:$G$1004,'UPDATE STATS'!$B$5:$B$1004,$B41,'UPDATE STATS'!$T$5:$T$1004,mCrit)/SUMIFS('UPDATE STATS'!$F$5:$F$1004,'UPDATE STATS'!$B$5:$B$1004,$B41,'UPDATE STATS'!$T$5:$T$1004,mCrit),""))</f>
        <v/>
      </c>
      <c r="J41" s="36">
        <f>IF($B41="","",SUMIFS('UPDATE STATS'!$J$5:$J$1004,'UPDATE STATS'!$B$5:$B$1004,$B41,'UPDATE STATS'!$T$5:$T$1004,mCrit))</f>
        <v>0</v>
      </c>
      <c r="K41" s="36" t="str">
        <f>IF($B41="","",IF(SUMIFS('UPDATE STATS'!$J$5:$J$1004,'UPDATE STATS'!$B$5:$B$1004,$B41,'UPDATE STATS'!$T$5:$T$1004,mCrit)&gt;0,IFERROR(SUMIFS('UPDATE STATS'!$J$5:$J$1004,'UPDATE STATS'!$B$5:$B$1004,$B41,'UPDATE STATS'!$T$5:$T$1004,mCrit)/SUMIFS('UPDATE STATS'!$L$5:$L$1004,'UPDATE STATS'!$B$5:$B$1004,$B41,'UPDATE STATS'!$T$5:$T$1004,mCrit),""),""))</f>
        <v/>
      </c>
      <c r="L41" s="36">
        <f>IF($B41="","",COUNTIFS('PROGRAM STATUS'!$B$5:$B$654,$B41,'PROGRAM STATUS'!$E$5:$E$654,"Blocked"))</f>
        <v>0</v>
      </c>
    </row>
    <row r="42">
      <c r="B42" s="34" t="str">
        <f>IF(CLIENTS!A20="","",CLIENTS!A20)</f>
        <v>Utimaco Singapore</v>
      </c>
      <c r="C42" s="32" t="n"/>
      <c r="D42" s="35" t="str">
        <f>IF($B42="","",IF(CLIENTS!B20="","",CLIENTS!B20))</f>
        <v>To Confirm</v>
      </c>
      <c r="E42" s="36">
        <f>IF($B42="","",SUMIFS('UPDATE STATS'!$L$5:$L$1004,'UPDATE STATS'!$B$5:$B$1004,$B42,'UPDATE STATS'!$T$5:$T$1004,mCrit))</f>
        <v>0</v>
      </c>
      <c r="F42" s="36">
        <f>IF($B42="","",SUMIFS('UPDATE STATS'!$M$5:$M$1004,'UPDATE STATS'!$B$5:$B$1004,$B42,'UPDATE STATS'!$T$5:$T$1004,mCrit))</f>
        <v>0</v>
      </c>
      <c r="G42" s="36">
        <f>IF($B42="","",SUMIFS('UPDATE STATS'!$N$5:$N$1004,'UPDATE STATS'!$B$5:$B$1004,$B42,'UPDATE STATS'!$T$5:$T$1004,mCrit))</f>
        <v>0</v>
      </c>
      <c r="H42" s="36">
        <f>IF($B42="","",SUMIFS('UPDATE STATS'!$F$5:$F$1004,'UPDATE STATS'!$B$5:$B$1004,$B42,'UPDATE STATS'!$T$5:$T$1004,mCrit))</f>
        <v>0</v>
      </c>
      <c r="I42" s="37" t="str">
        <f>IF($B42="","",IFERROR(SUMIFS('UPDATE STATS'!$G$5:$G$1004,'UPDATE STATS'!$B$5:$B$1004,$B42,'UPDATE STATS'!$T$5:$T$1004,mCrit)/SUMIFS('UPDATE STATS'!$F$5:$F$1004,'UPDATE STATS'!$B$5:$B$1004,$B42,'UPDATE STATS'!$T$5:$T$1004,mCrit),""))</f>
        <v/>
      </c>
      <c r="J42" s="36">
        <f>IF($B42="","",SUMIFS('UPDATE STATS'!$J$5:$J$1004,'UPDATE STATS'!$B$5:$B$1004,$B42,'UPDATE STATS'!$T$5:$T$1004,mCrit))</f>
        <v>0</v>
      </c>
      <c r="K42" s="36" t="str">
        <f>IF($B42="","",IF(SUMIFS('UPDATE STATS'!$J$5:$J$1004,'UPDATE STATS'!$B$5:$B$1004,$B42,'UPDATE STATS'!$T$5:$T$1004,mCrit)&gt;0,IFERROR(SUMIFS('UPDATE STATS'!$J$5:$J$1004,'UPDATE STATS'!$B$5:$B$1004,$B42,'UPDATE STATS'!$T$5:$T$1004,mCrit)/SUMIFS('UPDATE STATS'!$L$5:$L$1004,'UPDATE STATS'!$B$5:$B$1004,$B42,'UPDATE STATS'!$T$5:$T$1004,mCrit),""),""))</f>
        <v/>
      </c>
      <c r="L42" s="36">
        <f>IF($B42="","",COUNTIFS('PROGRAM STATUS'!$B$5:$B$654,$B42,'PROGRAM STATUS'!$E$5:$E$654,"Blocked"))</f>
        <v>0</v>
      </c>
    </row>
    <row r="43">
      <c r="B43" s="34" t="str">
        <f>IF(CLIENTS!A21="","",CLIENTS!A21)</f>
        <v/>
      </c>
      <c r="C43" s="32" t="n"/>
      <c r="D43" s="35" t="str">
        <f>IF($B43="","",IF(CLIENTS!B21="","",CLIENTS!B21))</f>
        <v/>
      </c>
      <c r="E43" s="36" t="str">
        <f>IF($B43="","",SUMIFS('UPDATE STATS'!$L$5:$L$1004,'UPDATE STATS'!$B$5:$B$1004,$B43,'UPDATE STATS'!$T$5:$T$1004,mCrit))</f>
        <v/>
      </c>
      <c r="F43" s="36" t="str">
        <f>IF($B43="","",SUMIFS('UPDATE STATS'!$M$5:$M$1004,'UPDATE STATS'!$B$5:$B$1004,$B43,'UPDATE STATS'!$T$5:$T$1004,mCrit))</f>
        <v/>
      </c>
      <c r="G43" s="36" t="str">
        <f>IF($B43="","",SUMIFS('UPDATE STATS'!$N$5:$N$1004,'UPDATE STATS'!$B$5:$B$1004,$B43,'UPDATE STATS'!$T$5:$T$1004,mCrit))</f>
        <v/>
      </c>
      <c r="H43" s="36" t="str">
        <f>IF($B43="","",SUMIFS('UPDATE STATS'!$F$5:$F$1004,'UPDATE STATS'!$B$5:$B$1004,$B43,'UPDATE STATS'!$T$5:$T$1004,mCrit))</f>
        <v/>
      </c>
      <c r="I43" s="37" t="str">
        <f>IF($B43="","",IFERROR(SUMIFS('UPDATE STATS'!$G$5:$G$1004,'UPDATE STATS'!$B$5:$B$1004,$B43,'UPDATE STATS'!$T$5:$T$1004,mCrit)/SUMIFS('UPDATE STATS'!$F$5:$F$1004,'UPDATE STATS'!$B$5:$B$1004,$B43,'UPDATE STATS'!$T$5:$T$1004,mCrit),""))</f>
        <v/>
      </c>
      <c r="J43" s="36" t="str">
        <f>IF($B43="","",SUMIFS('UPDATE STATS'!$J$5:$J$1004,'UPDATE STATS'!$B$5:$B$1004,$B43,'UPDATE STATS'!$T$5:$T$1004,mCrit))</f>
        <v/>
      </c>
      <c r="K43" s="36" t="str">
        <f>IF($B43="","",IF(SUMIFS('UPDATE STATS'!$J$5:$J$1004,'UPDATE STATS'!$B$5:$B$1004,$B43,'UPDATE STATS'!$T$5:$T$1004,mCrit)&gt;0,IFERROR(SUMIFS('UPDATE STATS'!$J$5:$J$1004,'UPDATE STATS'!$B$5:$B$1004,$B43,'UPDATE STATS'!$T$5:$T$1004,mCrit)/SUMIFS('UPDATE STATS'!$L$5:$L$1004,'UPDATE STATS'!$B$5:$B$1004,$B43,'UPDATE STATS'!$T$5:$T$1004,mCrit),""),""))</f>
        <v/>
      </c>
      <c r="L43" s="36" t="str">
        <f>IF($B43="","",COUNTIFS('PROGRAM STATUS'!$B$5:$B$654,$B43,'PROGRAM STATUS'!$E$5:$E$654,"Blocked"))</f>
        <v/>
      </c>
    </row>
    <row r="44">
      <c r="B44" s="34" t="str">
        <f>IF(CLIENTS!A22="","",CLIENTS!A22)</f>
        <v/>
      </c>
      <c r="C44" s="32" t="n"/>
      <c r="D44" s="35" t="str">
        <f>IF($B44="","",IF(CLIENTS!B22="","",CLIENTS!B22))</f>
        <v/>
      </c>
      <c r="E44" s="36" t="str">
        <f>IF($B44="","",SUMIFS('UPDATE STATS'!$L$5:$L$1004,'UPDATE STATS'!$B$5:$B$1004,$B44,'UPDATE STATS'!$T$5:$T$1004,mCrit))</f>
        <v/>
      </c>
      <c r="F44" s="36" t="str">
        <f>IF($B44="","",SUMIFS('UPDATE STATS'!$M$5:$M$1004,'UPDATE STATS'!$B$5:$B$1004,$B44,'UPDATE STATS'!$T$5:$T$1004,mCrit))</f>
        <v/>
      </c>
      <c r="G44" s="36" t="str">
        <f>IF($B44="","",SUMIFS('UPDATE STATS'!$N$5:$N$1004,'UPDATE STATS'!$B$5:$B$1004,$B44,'UPDATE STATS'!$T$5:$T$1004,mCrit))</f>
        <v/>
      </c>
      <c r="H44" s="36" t="str">
        <f>IF($B44="","",SUMIFS('UPDATE STATS'!$F$5:$F$1004,'UPDATE STATS'!$B$5:$B$1004,$B44,'UPDATE STATS'!$T$5:$T$1004,mCrit))</f>
        <v/>
      </c>
      <c r="I44" s="37" t="str">
        <f>IF($B44="","",IFERROR(SUMIFS('UPDATE STATS'!$G$5:$G$1004,'UPDATE STATS'!$B$5:$B$1004,$B44,'UPDATE STATS'!$T$5:$T$1004,mCrit)/SUMIFS('UPDATE STATS'!$F$5:$F$1004,'UPDATE STATS'!$B$5:$B$1004,$B44,'UPDATE STATS'!$T$5:$T$1004,mCrit),""))</f>
        <v/>
      </c>
      <c r="J44" s="36" t="str">
        <f>IF($B44="","",SUMIFS('UPDATE STATS'!$J$5:$J$1004,'UPDATE STATS'!$B$5:$B$1004,$B44,'UPDATE STATS'!$T$5:$T$1004,mCrit))</f>
        <v/>
      </c>
      <c r="K44" s="36" t="str">
        <f>IF($B44="","",IF(SUMIFS('UPDATE STATS'!$J$5:$J$1004,'UPDATE STATS'!$B$5:$B$1004,$B44,'UPDATE STATS'!$T$5:$T$1004,mCrit)&gt;0,IFERROR(SUMIFS('UPDATE STATS'!$J$5:$J$1004,'UPDATE STATS'!$B$5:$B$1004,$B44,'UPDATE STATS'!$T$5:$T$1004,mCrit)/SUMIFS('UPDATE STATS'!$L$5:$L$1004,'UPDATE STATS'!$B$5:$B$1004,$B44,'UPDATE STATS'!$T$5:$T$1004,mCrit),""),""))</f>
        <v/>
      </c>
      <c r="L44" s="36" t="str">
        <f>IF($B44="","",COUNTIFS('PROGRAM STATUS'!$B$5:$B$654,$B44,'PROGRAM STATUS'!$E$5:$E$654,"Blocked"))</f>
        <v/>
      </c>
    </row>
    <row r="45">
      <c r="B45" s="34" t="str">
        <f>IF(CLIENTS!A23="","",CLIENTS!A23)</f>
        <v/>
      </c>
      <c r="C45" s="32" t="n"/>
      <c r="D45" s="35" t="str">
        <f>IF($B45="","",IF(CLIENTS!B23="","",CLIENTS!B23))</f>
        <v/>
      </c>
      <c r="E45" s="36" t="str">
        <f>IF($B45="","",SUMIFS('UPDATE STATS'!$L$5:$L$1004,'UPDATE STATS'!$B$5:$B$1004,$B45,'UPDATE STATS'!$T$5:$T$1004,mCrit))</f>
        <v/>
      </c>
      <c r="F45" s="36" t="str">
        <f>IF($B45="","",SUMIFS('UPDATE STATS'!$M$5:$M$1004,'UPDATE STATS'!$B$5:$B$1004,$B45,'UPDATE STATS'!$T$5:$T$1004,mCrit))</f>
        <v/>
      </c>
      <c r="G45" s="36" t="str">
        <f>IF($B45="","",SUMIFS('UPDATE STATS'!$N$5:$N$1004,'UPDATE STATS'!$B$5:$B$1004,$B45,'UPDATE STATS'!$T$5:$T$1004,mCrit))</f>
        <v/>
      </c>
      <c r="H45" s="36" t="str">
        <f>IF($B45="","",SUMIFS('UPDATE STATS'!$F$5:$F$1004,'UPDATE STATS'!$B$5:$B$1004,$B45,'UPDATE STATS'!$T$5:$T$1004,mCrit))</f>
        <v/>
      </c>
      <c r="I45" s="37" t="str">
        <f>IF($B45="","",IFERROR(SUMIFS('UPDATE STATS'!$G$5:$G$1004,'UPDATE STATS'!$B$5:$B$1004,$B45,'UPDATE STATS'!$T$5:$T$1004,mCrit)/SUMIFS('UPDATE STATS'!$F$5:$F$1004,'UPDATE STATS'!$B$5:$B$1004,$B45,'UPDATE STATS'!$T$5:$T$1004,mCrit),""))</f>
        <v/>
      </c>
      <c r="J45" s="36" t="str">
        <f>IF($B45="","",SUMIFS('UPDATE STATS'!$J$5:$J$1004,'UPDATE STATS'!$B$5:$B$1004,$B45,'UPDATE STATS'!$T$5:$T$1004,mCrit))</f>
        <v/>
      </c>
      <c r="K45" s="36" t="str">
        <f>IF($B45="","",IF(SUMIFS('UPDATE STATS'!$J$5:$J$1004,'UPDATE STATS'!$B$5:$B$1004,$B45,'UPDATE STATS'!$T$5:$T$1004,mCrit)&gt;0,IFERROR(SUMIFS('UPDATE STATS'!$J$5:$J$1004,'UPDATE STATS'!$B$5:$B$1004,$B45,'UPDATE STATS'!$T$5:$T$1004,mCrit)/SUMIFS('UPDATE STATS'!$L$5:$L$1004,'UPDATE STATS'!$B$5:$B$1004,$B45,'UPDATE STATS'!$T$5:$T$1004,mCrit),""),""))</f>
        <v/>
      </c>
      <c r="L45" s="36" t="str">
        <f>IF($B45="","",COUNTIFS('PROGRAM STATUS'!$B$5:$B$654,$B45,'PROGRAM STATUS'!$E$5:$E$654,"Blocked"))</f>
        <v/>
      </c>
    </row>
    <row r="46">
      <c r="B46" s="34" t="str">
        <f>IF(CLIENTS!A24="","",CLIENTS!A24)</f>
        <v/>
      </c>
      <c r="C46" s="32" t="n"/>
      <c r="D46" s="35" t="str">
        <f>IF($B46="","",IF(CLIENTS!B24="","",CLIENTS!B24))</f>
        <v/>
      </c>
      <c r="E46" s="36" t="str">
        <f>IF($B46="","",SUMIFS('UPDATE STATS'!$L$5:$L$1004,'UPDATE STATS'!$B$5:$B$1004,$B46,'UPDATE STATS'!$T$5:$T$1004,mCrit))</f>
        <v/>
      </c>
      <c r="F46" s="36" t="str">
        <f>IF($B46="","",SUMIFS('UPDATE STATS'!$M$5:$M$1004,'UPDATE STATS'!$B$5:$B$1004,$B46,'UPDATE STATS'!$T$5:$T$1004,mCrit))</f>
        <v/>
      </c>
      <c r="G46" s="36" t="str">
        <f>IF($B46="","",SUMIFS('UPDATE STATS'!$N$5:$N$1004,'UPDATE STATS'!$B$5:$B$1004,$B46,'UPDATE STATS'!$T$5:$T$1004,mCrit))</f>
        <v/>
      </c>
      <c r="H46" s="36" t="str">
        <f>IF($B46="","",SUMIFS('UPDATE STATS'!$F$5:$F$1004,'UPDATE STATS'!$B$5:$B$1004,$B46,'UPDATE STATS'!$T$5:$T$1004,mCrit))</f>
        <v/>
      </c>
      <c r="I46" s="37" t="str">
        <f>IF($B46="","",IFERROR(SUMIFS('UPDATE STATS'!$G$5:$G$1004,'UPDATE STATS'!$B$5:$B$1004,$B46,'UPDATE STATS'!$T$5:$T$1004,mCrit)/SUMIFS('UPDATE STATS'!$F$5:$F$1004,'UPDATE STATS'!$B$5:$B$1004,$B46,'UPDATE STATS'!$T$5:$T$1004,mCrit),""))</f>
        <v/>
      </c>
      <c r="J46" s="36" t="str">
        <f>IF($B46="","",SUMIFS('UPDATE STATS'!$J$5:$J$1004,'UPDATE STATS'!$B$5:$B$1004,$B46,'UPDATE STATS'!$T$5:$T$1004,mCrit))</f>
        <v/>
      </c>
      <c r="K46" s="36" t="str">
        <f>IF($B46="","",IF(SUMIFS('UPDATE STATS'!$J$5:$J$1004,'UPDATE STATS'!$B$5:$B$1004,$B46,'UPDATE STATS'!$T$5:$T$1004,mCrit)&gt;0,IFERROR(SUMIFS('UPDATE STATS'!$J$5:$J$1004,'UPDATE STATS'!$B$5:$B$1004,$B46,'UPDATE STATS'!$T$5:$T$1004,mCrit)/SUMIFS('UPDATE STATS'!$L$5:$L$1004,'UPDATE STATS'!$B$5:$B$1004,$B46,'UPDATE STATS'!$T$5:$T$1004,mCrit),""),""))</f>
        <v/>
      </c>
      <c r="L46" s="36" t="str">
        <f>IF($B46="","",COUNTIFS('PROGRAM STATUS'!$B$5:$B$654,$B46,'PROGRAM STATUS'!$E$5:$E$654,"Blocked"))</f>
        <v/>
      </c>
    </row>
    <row r="47">
      <c r="B47" s="34" t="str">
        <f>IF(CLIENTS!A25="","",CLIENTS!A25)</f>
        <v/>
      </c>
      <c r="C47" s="32" t="n"/>
      <c r="D47" s="35" t="str">
        <f>IF($B47="","",IF(CLIENTS!B25="","",CLIENTS!B25))</f>
        <v/>
      </c>
      <c r="E47" s="36" t="str">
        <f>IF($B47="","",SUMIFS('UPDATE STATS'!$L$5:$L$1004,'UPDATE STATS'!$B$5:$B$1004,$B47,'UPDATE STATS'!$T$5:$T$1004,mCrit))</f>
        <v/>
      </c>
      <c r="F47" s="36" t="str">
        <f>IF($B47="","",SUMIFS('UPDATE STATS'!$M$5:$M$1004,'UPDATE STATS'!$B$5:$B$1004,$B47,'UPDATE STATS'!$T$5:$T$1004,mCrit))</f>
        <v/>
      </c>
      <c r="G47" s="36" t="str">
        <f>IF($B47="","",SUMIFS('UPDATE STATS'!$N$5:$N$1004,'UPDATE STATS'!$B$5:$B$1004,$B47,'UPDATE STATS'!$T$5:$T$1004,mCrit))</f>
        <v/>
      </c>
      <c r="H47" s="36" t="str">
        <f>IF($B47="","",SUMIFS('UPDATE STATS'!$F$5:$F$1004,'UPDATE STATS'!$B$5:$B$1004,$B47,'UPDATE STATS'!$T$5:$T$1004,mCrit))</f>
        <v/>
      </c>
      <c r="I47" s="37" t="str">
        <f>IF($B47="","",IFERROR(SUMIFS('UPDATE STATS'!$G$5:$G$1004,'UPDATE STATS'!$B$5:$B$1004,$B47,'UPDATE STATS'!$T$5:$T$1004,mCrit)/SUMIFS('UPDATE STATS'!$F$5:$F$1004,'UPDATE STATS'!$B$5:$B$1004,$B47,'UPDATE STATS'!$T$5:$T$1004,mCrit),""))</f>
        <v/>
      </c>
      <c r="J47" s="36" t="str">
        <f>IF($B47="","",SUMIFS('UPDATE STATS'!$J$5:$J$1004,'UPDATE STATS'!$B$5:$B$1004,$B47,'UPDATE STATS'!$T$5:$T$1004,mCrit))</f>
        <v/>
      </c>
      <c r="K47" s="36" t="str">
        <f>IF($B47="","",IF(SUMIFS('UPDATE STATS'!$J$5:$J$1004,'UPDATE STATS'!$B$5:$B$1004,$B47,'UPDATE STATS'!$T$5:$T$1004,mCrit)&gt;0,IFERROR(SUMIFS('UPDATE STATS'!$J$5:$J$1004,'UPDATE STATS'!$B$5:$B$1004,$B47,'UPDATE STATS'!$T$5:$T$1004,mCrit)/SUMIFS('UPDATE STATS'!$L$5:$L$1004,'UPDATE STATS'!$B$5:$B$1004,$B47,'UPDATE STATS'!$T$5:$T$1004,mCrit),""),""))</f>
        <v/>
      </c>
      <c r="L47" s="36" t="str">
        <f>IF($B47="","",COUNTIFS('PROGRAM STATUS'!$B$5:$B$654,$B47,'PROGRAM STATUS'!$E$5:$E$654,"Blocked"))</f>
        <v/>
      </c>
    </row>
    <row r="48">
      <c r="B48" s="34" t="str">
        <f>IF(CLIENTS!A26="","",CLIENTS!A26)</f>
        <v/>
      </c>
      <c r="C48" s="32" t="n"/>
      <c r="D48" s="35" t="str">
        <f>IF($B48="","",IF(CLIENTS!B26="","",CLIENTS!B26))</f>
        <v/>
      </c>
      <c r="E48" s="36" t="str">
        <f>IF($B48="","",SUMIFS('UPDATE STATS'!$L$5:$L$1004,'UPDATE STATS'!$B$5:$B$1004,$B48,'UPDATE STATS'!$T$5:$T$1004,mCrit))</f>
        <v/>
      </c>
      <c r="F48" s="36" t="str">
        <f>IF($B48="","",SUMIFS('UPDATE STATS'!$M$5:$M$1004,'UPDATE STATS'!$B$5:$B$1004,$B48,'UPDATE STATS'!$T$5:$T$1004,mCrit))</f>
        <v/>
      </c>
      <c r="G48" s="36" t="str">
        <f>IF($B48="","",SUMIFS('UPDATE STATS'!$N$5:$N$1004,'UPDATE STATS'!$B$5:$B$1004,$B48,'UPDATE STATS'!$T$5:$T$1004,mCrit))</f>
        <v/>
      </c>
      <c r="H48" s="36" t="str">
        <f>IF($B48="","",SUMIFS('UPDATE STATS'!$F$5:$F$1004,'UPDATE STATS'!$B$5:$B$1004,$B48,'UPDATE STATS'!$T$5:$T$1004,mCrit))</f>
        <v/>
      </c>
      <c r="I48" s="37" t="str">
        <f>IF($B48="","",IFERROR(SUMIFS('UPDATE STATS'!$G$5:$G$1004,'UPDATE STATS'!$B$5:$B$1004,$B48,'UPDATE STATS'!$T$5:$T$1004,mCrit)/SUMIFS('UPDATE STATS'!$F$5:$F$1004,'UPDATE STATS'!$B$5:$B$1004,$B48,'UPDATE STATS'!$T$5:$T$1004,mCrit),""))</f>
        <v/>
      </c>
      <c r="J48" s="36" t="str">
        <f>IF($B48="","",SUMIFS('UPDATE STATS'!$J$5:$J$1004,'UPDATE STATS'!$B$5:$B$1004,$B48,'UPDATE STATS'!$T$5:$T$1004,mCrit))</f>
        <v/>
      </c>
      <c r="K48" s="36" t="str">
        <f>IF($B48="","",IF(SUMIFS('UPDATE STATS'!$J$5:$J$1004,'UPDATE STATS'!$B$5:$B$1004,$B48,'UPDATE STATS'!$T$5:$T$1004,mCrit)&gt;0,IFERROR(SUMIFS('UPDATE STATS'!$J$5:$J$1004,'UPDATE STATS'!$B$5:$B$1004,$B48,'UPDATE STATS'!$T$5:$T$1004,mCrit)/SUMIFS('UPDATE STATS'!$L$5:$L$1004,'UPDATE STATS'!$B$5:$B$1004,$B48,'UPDATE STATS'!$T$5:$T$1004,mCrit),""),""))</f>
        <v/>
      </c>
      <c r="L48" s="36" t="str">
        <f>IF($B48="","",COUNTIFS('PROGRAM STATUS'!$B$5:$B$654,$B48,'PROGRAM STATUS'!$E$5:$E$654,"Blocked"))</f>
        <v/>
      </c>
    </row>
    <row r="49">
      <c r="B49" s="34" t="str">
        <f>IF(CLIENTS!A27="","",CLIENTS!A27)</f>
        <v/>
      </c>
      <c r="C49" s="32" t="n"/>
      <c r="D49" s="35" t="str">
        <f>IF($B49="","",IF(CLIENTS!B27="","",CLIENTS!B27))</f>
        <v/>
      </c>
      <c r="E49" s="36" t="str">
        <f>IF($B49="","",SUMIFS('UPDATE STATS'!$L$5:$L$1004,'UPDATE STATS'!$B$5:$B$1004,$B49,'UPDATE STATS'!$T$5:$T$1004,mCrit))</f>
        <v/>
      </c>
      <c r="F49" s="36" t="str">
        <f>IF($B49="","",SUMIFS('UPDATE STATS'!$M$5:$M$1004,'UPDATE STATS'!$B$5:$B$1004,$B49,'UPDATE STATS'!$T$5:$T$1004,mCrit))</f>
        <v/>
      </c>
      <c r="G49" s="36" t="str">
        <f>IF($B49="","",SUMIFS('UPDATE STATS'!$N$5:$N$1004,'UPDATE STATS'!$B$5:$B$1004,$B49,'UPDATE STATS'!$T$5:$T$1004,mCrit))</f>
        <v/>
      </c>
      <c r="H49" s="36" t="str">
        <f>IF($B49="","",SUMIFS('UPDATE STATS'!$F$5:$F$1004,'UPDATE STATS'!$B$5:$B$1004,$B49,'UPDATE STATS'!$T$5:$T$1004,mCrit))</f>
        <v/>
      </c>
      <c r="I49" s="37" t="str">
        <f>IF($B49="","",IFERROR(SUMIFS('UPDATE STATS'!$G$5:$G$1004,'UPDATE STATS'!$B$5:$B$1004,$B49,'UPDATE STATS'!$T$5:$T$1004,mCrit)/SUMIFS('UPDATE STATS'!$F$5:$F$1004,'UPDATE STATS'!$B$5:$B$1004,$B49,'UPDATE STATS'!$T$5:$T$1004,mCrit),""))</f>
        <v/>
      </c>
      <c r="J49" s="36" t="str">
        <f>IF($B49="","",SUMIFS('UPDATE STATS'!$J$5:$J$1004,'UPDATE STATS'!$B$5:$B$1004,$B49,'UPDATE STATS'!$T$5:$T$1004,mCrit))</f>
        <v/>
      </c>
      <c r="K49" s="36" t="str">
        <f>IF($B49="","",IF(SUMIFS('UPDATE STATS'!$J$5:$J$1004,'UPDATE STATS'!$B$5:$B$1004,$B49,'UPDATE STATS'!$T$5:$T$1004,mCrit)&gt;0,IFERROR(SUMIFS('UPDATE STATS'!$J$5:$J$1004,'UPDATE STATS'!$B$5:$B$1004,$B49,'UPDATE STATS'!$T$5:$T$1004,mCrit)/SUMIFS('UPDATE STATS'!$L$5:$L$1004,'UPDATE STATS'!$B$5:$B$1004,$B49,'UPDATE STATS'!$T$5:$T$1004,mCrit),""),""))</f>
        <v/>
      </c>
      <c r="L49" s="36" t="str">
        <f>IF($B49="","",COUNTIFS('PROGRAM STATUS'!$B$5:$B$654,$B49,'PROGRAM STATUS'!$E$5:$E$654,"Blocked"))</f>
        <v/>
      </c>
    </row>
    <row r="50">
      <c r="B50" s="34" t="str">
        <f>IF(CLIENTS!A28="","",CLIENTS!A28)</f>
        <v/>
      </c>
      <c r="C50" s="32" t="n"/>
      <c r="D50" s="35" t="str">
        <f>IF($B50="","",IF(CLIENTS!B28="","",CLIENTS!B28))</f>
        <v/>
      </c>
      <c r="E50" s="36" t="str">
        <f>IF($B50="","",SUMIFS('UPDATE STATS'!$L$5:$L$1004,'UPDATE STATS'!$B$5:$B$1004,$B50,'UPDATE STATS'!$T$5:$T$1004,mCrit))</f>
        <v/>
      </c>
      <c r="F50" s="36" t="str">
        <f>IF($B50="","",SUMIFS('UPDATE STATS'!$M$5:$M$1004,'UPDATE STATS'!$B$5:$B$1004,$B50,'UPDATE STATS'!$T$5:$T$1004,mCrit))</f>
        <v/>
      </c>
      <c r="G50" s="36" t="str">
        <f>IF($B50="","",SUMIFS('UPDATE STATS'!$N$5:$N$1004,'UPDATE STATS'!$B$5:$B$1004,$B50,'UPDATE STATS'!$T$5:$T$1004,mCrit))</f>
        <v/>
      </c>
      <c r="H50" s="36" t="str">
        <f>IF($B50="","",SUMIFS('UPDATE STATS'!$F$5:$F$1004,'UPDATE STATS'!$B$5:$B$1004,$B50,'UPDATE STATS'!$T$5:$T$1004,mCrit))</f>
        <v/>
      </c>
      <c r="I50" s="37" t="str">
        <f>IF($B50="","",IFERROR(SUMIFS('UPDATE STATS'!$G$5:$G$1004,'UPDATE STATS'!$B$5:$B$1004,$B50,'UPDATE STATS'!$T$5:$T$1004,mCrit)/SUMIFS('UPDATE STATS'!$F$5:$F$1004,'UPDATE STATS'!$B$5:$B$1004,$B50,'UPDATE STATS'!$T$5:$T$1004,mCrit),""))</f>
        <v/>
      </c>
      <c r="J50" s="36" t="str">
        <f>IF($B50="","",SUMIFS('UPDATE STATS'!$J$5:$J$1004,'UPDATE STATS'!$B$5:$B$1004,$B50,'UPDATE STATS'!$T$5:$T$1004,mCrit))</f>
        <v/>
      </c>
      <c r="K50" s="36" t="str">
        <f>IF($B50="","",IF(SUMIFS('UPDATE STATS'!$J$5:$J$1004,'UPDATE STATS'!$B$5:$B$1004,$B50,'UPDATE STATS'!$T$5:$T$1004,mCrit)&gt;0,IFERROR(SUMIFS('UPDATE STATS'!$J$5:$J$1004,'UPDATE STATS'!$B$5:$B$1004,$B50,'UPDATE STATS'!$T$5:$T$1004,mCrit)/SUMIFS('UPDATE STATS'!$L$5:$L$1004,'UPDATE STATS'!$B$5:$B$1004,$B50,'UPDATE STATS'!$T$5:$T$1004,mCrit),""),""))</f>
        <v/>
      </c>
      <c r="L50" s="36" t="str">
        <f>IF($B50="","",COUNTIFS('PROGRAM STATUS'!$B$5:$B$654,$B50,'PROGRAM STATUS'!$E$5:$E$654,"Blocked"))</f>
        <v/>
      </c>
    </row>
    <row r="51">
      <c r="B51" s="34" t="str">
        <f>IF(CLIENTS!A29="","",CLIENTS!A29)</f>
        <v/>
      </c>
      <c r="C51" s="32" t="n"/>
      <c r="D51" s="35" t="str">
        <f>IF($B51="","",IF(CLIENTS!B29="","",CLIENTS!B29))</f>
        <v/>
      </c>
      <c r="E51" s="36" t="str">
        <f>IF($B51="","",SUMIFS('UPDATE STATS'!$L$5:$L$1004,'UPDATE STATS'!$B$5:$B$1004,$B51,'UPDATE STATS'!$T$5:$T$1004,mCrit))</f>
        <v/>
      </c>
      <c r="F51" s="36" t="str">
        <f>IF($B51="","",SUMIFS('UPDATE STATS'!$M$5:$M$1004,'UPDATE STATS'!$B$5:$B$1004,$B51,'UPDATE STATS'!$T$5:$T$1004,mCrit))</f>
        <v/>
      </c>
      <c r="G51" s="36" t="str">
        <f>IF($B51="","",SUMIFS('UPDATE STATS'!$N$5:$N$1004,'UPDATE STATS'!$B$5:$B$1004,$B51,'UPDATE STATS'!$T$5:$T$1004,mCrit))</f>
        <v/>
      </c>
      <c r="H51" s="36" t="str">
        <f>IF($B51="","",SUMIFS('UPDATE STATS'!$F$5:$F$1004,'UPDATE STATS'!$B$5:$B$1004,$B51,'UPDATE STATS'!$T$5:$T$1004,mCrit))</f>
        <v/>
      </c>
      <c r="I51" s="37" t="str">
        <f>IF($B51="","",IFERROR(SUMIFS('UPDATE STATS'!$G$5:$G$1004,'UPDATE STATS'!$B$5:$B$1004,$B51,'UPDATE STATS'!$T$5:$T$1004,mCrit)/SUMIFS('UPDATE STATS'!$F$5:$F$1004,'UPDATE STATS'!$B$5:$B$1004,$B51,'UPDATE STATS'!$T$5:$T$1004,mCrit),""))</f>
        <v/>
      </c>
      <c r="J51" s="36" t="str">
        <f>IF($B51="","",SUMIFS('UPDATE STATS'!$J$5:$J$1004,'UPDATE STATS'!$B$5:$B$1004,$B51,'UPDATE STATS'!$T$5:$T$1004,mCrit))</f>
        <v/>
      </c>
      <c r="K51" s="36" t="str">
        <f>IF($B51="","",IF(SUMIFS('UPDATE STATS'!$J$5:$J$1004,'UPDATE STATS'!$B$5:$B$1004,$B51,'UPDATE STATS'!$T$5:$T$1004,mCrit)&gt;0,IFERROR(SUMIFS('UPDATE STATS'!$J$5:$J$1004,'UPDATE STATS'!$B$5:$B$1004,$B51,'UPDATE STATS'!$T$5:$T$1004,mCrit)/SUMIFS('UPDATE STATS'!$L$5:$L$1004,'UPDATE STATS'!$B$5:$B$1004,$B51,'UPDATE STATS'!$T$5:$T$1004,mCrit),""),""))</f>
        <v/>
      </c>
      <c r="L51" s="36" t="str">
        <f>IF($B51="","",COUNTIFS('PROGRAM STATUS'!$B$5:$B$654,$B51,'PROGRAM STATUS'!$E$5:$E$654,"Blocked"))</f>
        <v/>
      </c>
    </row>
    <row r="53" ht="22" customHeight="1">
      <c r="B53" s="11" t="inlineStr">
        <is>
          <t>LAST 6 MONTHS (Client filter applies)</t>
        </is>
      </c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</row>
    <row r="54" ht="22" customHeight="1">
      <c r="B54" s="29" t="inlineStr">
        <is>
          <t>Month</t>
        </is>
      </c>
      <c r="C54" s="30" t="n"/>
      <c r="D54" s="29" t="str">
        <f>YEAR(EDATE(DATE(YEAR(ReportDate),MONTH(ReportDate),1),-5))&amp;"-"&amp;TEXT(MONTH(EDATE(DATE(YEAR(ReportDate),MONTH(ReportDate),1),-5)),"00")</f>
        <v>2026-05</v>
      </c>
      <c r="E54" s="29" t="str">
        <f>YEAR(EDATE(DATE(YEAR(ReportDate),MONTH(ReportDate),1),-4))&amp;"-"&amp;TEXT(MONTH(EDATE(DATE(YEAR(ReportDate),MONTH(ReportDate),1),-4)),"00")</f>
        <v>2026-06</v>
      </c>
      <c r="F54" s="29" t="str">
        <f>YEAR(EDATE(DATE(YEAR(ReportDate),MONTH(ReportDate),1),-3))&amp;"-"&amp;TEXT(MONTH(EDATE(DATE(YEAR(ReportDate),MONTH(ReportDate),1),-3)),"00")</f>
        <v>2026-07</v>
      </c>
      <c r="G54" s="29" t="str">
        <f>YEAR(EDATE(DATE(YEAR(ReportDate),MONTH(ReportDate),1),-2))&amp;"-"&amp;TEXT(MONTH(EDATE(DATE(YEAR(ReportDate),MONTH(ReportDate),1),-2)),"00")</f>
        <v>2026-08</v>
      </c>
      <c r="H54" s="29" t="str">
        <f>YEAR(EDATE(DATE(YEAR(ReportDate),MONTH(ReportDate),1),-1))&amp;"-"&amp;TEXT(MONTH(EDATE(DATE(YEAR(ReportDate),MONTH(ReportDate),1),-1)),"00")</f>
        <v>2026-09</v>
      </c>
      <c r="I54" s="29" t="str">
        <f>YEAR(EDATE(DATE(YEAR(ReportDate),MONTH(ReportDate),1),0))&amp;"-"&amp;TEXT(MONTH(EDATE(DATE(YEAR(ReportDate),MONTH(ReportDate),1),0)),"00")</f>
        <v>2026-10</v>
      </c>
    </row>
    <row r="55">
      <c r="B55" s="32" t="n"/>
      <c r="C55" s="34" t="inlineStr">
        <is>
          <t>Leads</t>
        </is>
      </c>
      <c r="D55" s="36">
        <f>SUMIFS('UPDATE STATS'!$L$5:$L$1004,'UPDATE STATS'!$T$5:$T$1004,D$54,'UPDATE STATS'!$B$5:$B$1004,cCrit)</f>
        <v>0</v>
      </c>
      <c r="E55" s="36">
        <f>SUMIFS('UPDATE STATS'!$L$5:$L$1004,'UPDATE STATS'!$T$5:$T$1004,E$54,'UPDATE STATS'!$B$5:$B$1004,cCrit)</f>
        <v>0</v>
      </c>
      <c r="F55" s="36">
        <f>SUMIFS('UPDATE STATS'!$L$5:$L$1004,'UPDATE STATS'!$T$5:$T$1004,F$54,'UPDATE STATS'!$B$5:$B$1004,cCrit)</f>
        <v>0</v>
      </c>
      <c r="G55" s="36">
        <f>SUMIFS('UPDATE STATS'!$L$5:$L$1004,'UPDATE STATS'!$T$5:$T$1004,G$54,'UPDATE STATS'!$B$5:$B$1004,cCrit)</f>
        <v>0</v>
      </c>
      <c r="H55" s="36">
        <f>SUMIFS('UPDATE STATS'!$L$5:$L$1004,'UPDATE STATS'!$T$5:$T$1004,H$54,'UPDATE STATS'!$B$5:$B$1004,cCrit)</f>
        <v>0</v>
      </c>
      <c r="I55" s="36">
        <f>SUMIFS('UPDATE STATS'!$L$5:$L$1004,'UPDATE STATS'!$T$5:$T$1004,I$54,'UPDATE STATS'!$B$5:$B$1004,cCrit)</f>
        <v>0</v>
      </c>
    </row>
    <row r="56">
      <c r="B56" s="32" t="n"/>
      <c r="C56" s="34" t="inlineStr">
        <is>
          <t>MQLs</t>
        </is>
      </c>
      <c r="D56" s="36">
        <f>SUMIFS('UPDATE STATS'!$M$5:$M$1004,'UPDATE STATS'!$T$5:$T$1004,D$54,'UPDATE STATS'!$B$5:$B$1004,cCrit)</f>
        <v>0</v>
      </c>
      <c r="E56" s="36">
        <f>SUMIFS('UPDATE STATS'!$M$5:$M$1004,'UPDATE STATS'!$T$5:$T$1004,E$54,'UPDATE STATS'!$B$5:$B$1004,cCrit)</f>
        <v>0</v>
      </c>
      <c r="F56" s="36">
        <f>SUMIFS('UPDATE STATS'!$M$5:$M$1004,'UPDATE STATS'!$T$5:$T$1004,F$54,'UPDATE STATS'!$B$5:$B$1004,cCrit)</f>
        <v>0</v>
      </c>
      <c r="G56" s="36">
        <f>SUMIFS('UPDATE STATS'!$M$5:$M$1004,'UPDATE STATS'!$T$5:$T$1004,G$54,'UPDATE STATS'!$B$5:$B$1004,cCrit)</f>
        <v>0</v>
      </c>
      <c r="H56" s="36">
        <f>SUMIFS('UPDATE STATS'!$M$5:$M$1004,'UPDATE STATS'!$T$5:$T$1004,H$54,'UPDATE STATS'!$B$5:$B$1004,cCrit)</f>
        <v>0</v>
      </c>
      <c r="I56" s="36">
        <f>SUMIFS('UPDATE STATS'!$M$5:$M$1004,'UPDATE STATS'!$T$5:$T$1004,I$54,'UPDATE STATS'!$B$5:$B$1004,cCrit)</f>
        <v>0</v>
      </c>
    </row>
    <row r="57">
      <c r="B57" s="32" t="n"/>
      <c r="C57" s="34" t="inlineStr">
        <is>
          <t>SQLs</t>
        </is>
      </c>
      <c r="D57" s="36">
        <f>SUMIFS('UPDATE STATS'!$N$5:$N$1004,'UPDATE STATS'!$T$5:$T$1004,D$54,'UPDATE STATS'!$B$5:$B$1004,cCrit)</f>
        <v>0</v>
      </c>
      <c r="E57" s="36">
        <f>SUMIFS('UPDATE STATS'!$N$5:$N$1004,'UPDATE STATS'!$T$5:$T$1004,E$54,'UPDATE STATS'!$B$5:$B$1004,cCrit)</f>
        <v>0</v>
      </c>
      <c r="F57" s="36">
        <f>SUMIFS('UPDATE STATS'!$N$5:$N$1004,'UPDATE STATS'!$T$5:$T$1004,F$54,'UPDATE STATS'!$B$5:$B$1004,cCrit)</f>
        <v>0</v>
      </c>
      <c r="G57" s="36">
        <f>SUMIFS('UPDATE STATS'!$N$5:$N$1004,'UPDATE STATS'!$T$5:$T$1004,G$54,'UPDATE STATS'!$B$5:$B$1004,cCrit)</f>
        <v>0</v>
      </c>
      <c r="H57" s="36">
        <f>SUMIFS('UPDATE STATS'!$N$5:$N$1004,'UPDATE STATS'!$T$5:$T$1004,H$54,'UPDATE STATS'!$B$5:$B$1004,cCrit)</f>
        <v>0</v>
      </c>
      <c r="I57" s="36">
        <f>SUMIFS('UPDATE STATS'!$N$5:$N$1004,'UPDATE STATS'!$T$5:$T$1004,I$54,'UPDATE STATS'!$B$5:$B$1004,cCrit)</f>
        <v>0</v>
      </c>
    </row>
    <row r="58">
      <c r="B58" s="32" t="n"/>
      <c r="C58" s="34" t="inlineStr">
        <is>
          <t>Emails Sent</t>
        </is>
      </c>
      <c r="D58" s="36">
        <f>SUMIFS('UPDATE STATS'!$F$5:$F$1004,'UPDATE STATS'!$T$5:$T$1004,D$54,'UPDATE STATS'!$B$5:$B$1004,cCrit)</f>
        <v>0</v>
      </c>
      <c r="E58" s="36">
        <f>SUMIFS('UPDATE STATS'!$F$5:$F$1004,'UPDATE STATS'!$T$5:$T$1004,E$54,'UPDATE STATS'!$B$5:$B$1004,cCrit)</f>
        <v>0</v>
      </c>
      <c r="F58" s="36">
        <f>SUMIFS('UPDATE STATS'!$F$5:$F$1004,'UPDATE STATS'!$T$5:$T$1004,F$54,'UPDATE STATS'!$B$5:$B$1004,cCrit)</f>
        <v>0</v>
      </c>
      <c r="G58" s="36">
        <f>SUMIFS('UPDATE STATS'!$F$5:$F$1004,'UPDATE STATS'!$T$5:$T$1004,G$54,'UPDATE STATS'!$B$5:$B$1004,cCrit)</f>
        <v>0</v>
      </c>
      <c r="H58" s="36">
        <f>SUMIFS('UPDATE STATS'!$F$5:$F$1004,'UPDATE STATS'!$T$5:$T$1004,H$54,'UPDATE STATS'!$B$5:$B$1004,cCrit)</f>
        <v>0</v>
      </c>
      <c r="I58" s="36">
        <f>SUMIFS('UPDATE STATS'!$F$5:$F$1004,'UPDATE STATS'!$T$5:$T$1004,I$54,'UPDATE STATS'!$B$5:$B$1004,cCrit)</f>
        <v>0</v>
      </c>
    </row>
    <row r="59">
      <c r="B59" s="32" t="n"/>
      <c r="C59" s="34" t="inlineStr">
        <is>
          <t>Ad Spend</t>
        </is>
      </c>
      <c r="D59" s="36">
        <f>SUMIFS('UPDATE STATS'!$J$5:$J$1004,'UPDATE STATS'!$T$5:$T$1004,D$54,'UPDATE STATS'!$B$5:$B$1004,cCrit)</f>
        <v>0</v>
      </c>
      <c r="E59" s="36">
        <f>SUMIFS('UPDATE STATS'!$J$5:$J$1004,'UPDATE STATS'!$T$5:$T$1004,E$54,'UPDATE STATS'!$B$5:$B$1004,cCrit)</f>
        <v>0</v>
      </c>
      <c r="F59" s="36">
        <f>SUMIFS('UPDATE STATS'!$J$5:$J$1004,'UPDATE STATS'!$T$5:$T$1004,F$54,'UPDATE STATS'!$B$5:$B$1004,cCrit)</f>
        <v>0</v>
      </c>
      <c r="G59" s="36">
        <f>SUMIFS('UPDATE STATS'!$J$5:$J$1004,'UPDATE STATS'!$T$5:$T$1004,G$54,'UPDATE STATS'!$B$5:$B$1004,cCrit)</f>
        <v>0</v>
      </c>
      <c r="H59" s="36">
        <f>SUMIFS('UPDATE STATS'!$J$5:$J$1004,'UPDATE STATS'!$T$5:$T$1004,H$54,'UPDATE STATS'!$B$5:$B$1004,cCrit)</f>
        <v>0</v>
      </c>
      <c r="I59" s="36">
        <f>SUMIFS('UPDATE STATS'!$J$5:$J$1004,'UPDATE STATS'!$T$5:$T$1004,I$54,'UPDATE STATS'!$B$5:$B$1004,cCrit)</f>
        <v>0</v>
      </c>
    </row>
    <row r="68" ht="22" customHeight="1">
      <c r="B68" s="11" t="inlineStr">
        <is>
          <t>TEAM - PROGRAM STATUS (who is working on what)</t>
        </is>
      </c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</row>
    <row r="69" ht="22" customHeight="1">
      <c r="B69" s="29" t="inlineStr">
        <is>
          <t>Team Member</t>
        </is>
      </c>
      <c r="C69" s="30" t="n"/>
      <c r="D69" s="29" t="inlineStr">
        <is>
          <t>Role</t>
        </is>
      </c>
      <c r="E69" s="30" t="n"/>
      <c r="F69" s="30" t="n"/>
      <c r="G69" s="29" t="inlineStr">
        <is>
          <t>Programs</t>
        </is>
      </c>
      <c r="H69" s="29" t="inlineStr">
        <is>
          <t>Not Started</t>
        </is>
      </c>
      <c r="I69" s="29" t="inlineStr">
        <is>
          <t>In Progress</t>
        </is>
      </c>
      <c r="J69" s="29" t="inlineStr">
        <is>
          <t>Done</t>
        </is>
      </c>
      <c r="K69" s="29" t="inlineStr">
        <is>
          <t>Blocked</t>
        </is>
      </c>
      <c r="L69" s="29" t="inlineStr">
        <is>
          <t>Not Updated</t>
        </is>
      </c>
    </row>
    <row r="70">
      <c r="B70" s="34" t="str">
        <f>IF(LISTS!A5="","",LISTS!A5)</f>
        <v>Ayush Jain</v>
      </c>
      <c r="C70" s="32" t="n"/>
      <c r="D70" s="38" t="str">
        <f>IF($B70="","",IF(LISTS!B5="","",LISTS!B5))</f>
        <v>Program Manager</v>
      </c>
      <c r="E70" s="32" t="n"/>
      <c r="F70" s="32" t="n"/>
      <c r="G70" s="39">
        <f>IF($B70="","",COUNTIFS('PROGRAM STATUS'!$A$5:$A$654,$B70,'PROGRAM STATUS'!$C$5:$C$654,"&lt;&gt;"))</f>
        <v>16</v>
      </c>
      <c r="H70" s="36">
        <f>IF($B70="","",COUNTIFS('PROGRAM STATUS'!$A$5:$A$654,$B70,'PROGRAM STATUS'!$E$5:$E$654,"Not Started"))</f>
        <v>0</v>
      </c>
      <c r="I70" s="36">
        <f>IF($B70="","",COUNTIFS('PROGRAM STATUS'!$A$5:$A$654,$B70,'PROGRAM STATUS'!$E$5:$E$654,"In Progress"))</f>
        <v>0</v>
      </c>
      <c r="J70" s="36">
        <f>IF($B70="","",COUNTIFS('PROGRAM STATUS'!$A$5:$A$654,$B70,'PROGRAM STATUS'!$E$5:$E$654,"Done"))</f>
        <v>0</v>
      </c>
      <c r="K70" s="36">
        <f>IF($B70="","",COUNTIFS('PROGRAM STATUS'!$A$5:$A$654,$B70,'PROGRAM STATUS'!$E$5:$E$654,"Blocked"))</f>
        <v>0</v>
      </c>
      <c r="L70" s="36">
        <f>IF($B70="","",G70-SUM(H70:K70))</f>
        <v>16</v>
      </c>
    </row>
    <row r="71">
      <c r="B71" s="34" t="str">
        <f>IF(LISTS!A6="","",LISTS!A6)</f>
        <v>Piyush Sambria</v>
      </c>
      <c r="C71" s="32" t="n"/>
      <c r="D71" s="38" t="str">
        <f>IF($B71="","",IF(LISTS!B6="","",LISTS!B6))</f>
        <v>Creative Lead</v>
      </c>
      <c r="E71" s="32" t="n"/>
      <c r="F71" s="32" t="n"/>
      <c r="G71" s="39">
        <f>IF($B71="","",COUNTIFS('PROGRAM STATUS'!$A$5:$A$654,$B71,'PROGRAM STATUS'!$C$5:$C$654,"&lt;&gt;"))</f>
        <v>0</v>
      </c>
      <c r="H71" s="36">
        <f>IF($B71="","",COUNTIFS('PROGRAM STATUS'!$A$5:$A$654,$B71,'PROGRAM STATUS'!$E$5:$E$654,"Not Started"))</f>
        <v>0</v>
      </c>
      <c r="I71" s="36">
        <f>IF($B71="","",COUNTIFS('PROGRAM STATUS'!$A$5:$A$654,$B71,'PROGRAM STATUS'!$E$5:$E$654,"In Progress"))</f>
        <v>0</v>
      </c>
      <c r="J71" s="36">
        <f>IF($B71="","",COUNTIFS('PROGRAM STATUS'!$A$5:$A$654,$B71,'PROGRAM STATUS'!$E$5:$E$654,"Done"))</f>
        <v>0</v>
      </c>
      <c r="K71" s="36">
        <f>IF($B71="","",COUNTIFS('PROGRAM STATUS'!$A$5:$A$654,$B71,'PROGRAM STATUS'!$E$5:$E$654,"Blocked"))</f>
        <v>0</v>
      </c>
      <c r="L71" s="36">
        <f>IF($B71="","",G71-SUM(H71:K71))</f>
        <v>0</v>
      </c>
    </row>
    <row r="72">
      <c r="B72" s="34" t="str">
        <f>IF(LISTS!A7="","",LISTS!A7)</f>
        <v>Riya Diwan</v>
      </c>
      <c r="C72" s="32" t="n"/>
      <c r="D72" s="38" t="str">
        <f>IF($B72="","",IF(LISTS!B7="","",LISTS!B7))</f>
        <v>Program Execution Expert</v>
      </c>
      <c r="E72" s="32" t="n"/>
      <c r="F72" s="32" t="n"/>
      <c r="G72" s="39">
        <f>IF($B72="","",COUNTIFS('PROGRAM STATUS'!$A$5:$A$654,$B72,'PROGRAM STATUS'!$C$5:$C$654,"&lt;&gt;"))</f>
        <v>16</v>
      </c>
      <c r="H72" s="36">
        <f>IF($B72="","",COUNTIFS('PROGRAM STATUS'!$A$5:$A$654,$B72,'PROGRAM STATUS'!$E$5:$E$654,"Not Started"))</f>
        <v>0</v>
      </c>
      <c r="I72" s="36">
        <f>IF($B72="","",COUNTIFS('PROGRAM STATUS'!$A$5:$A$654,$B72,'PROGRAM STATUS'!$E$5:$E$654,"In Progress"))</f>
        <v>0</v>
      </c>
      <c r="J72" s="36">
        <f>IF($B72="","",COUNTIFS('PROGRAM STATUS'!$A$5:$A$654,$B72,'PROGRAM STATUS'!$E$5:$E$654,"Done"))</f>
        <v>0</v>
      </c>
      <c r="K72" s="36">
        <f>IF($B72="","",COUNTIFS('PROGRAM STATUS'!$A$5:$A$654,$B72,'PROGRAM STATUS'!$E$5:$E$654,"Blocked"))</f>
        <v>0</v>
      </c>
      <c r="L72" s="36">
        <f>IF($B72="","",G72-SUM(H72:K72))</f>
        <v>16</v>
      </c>
    </row>
    <row r="73">
      <c r="B73" s="34" t="str">
        <f>IF(LISTS!A8="","",LISTS!A8)</f>
        <v>Surbhi Pandey</v>
      </c>
      <c r="C73" s="32" t="n"/>
      <c r="D73" s="38" t="str">
        <f>IF($B73="","",IF(LISTS!B8="","",LISTS!B8))</f>
        <v>Program Execution Expert</v>
      </c>
      <c r="E73" s="32" t="n"/>
      <c r="F73" s="32" t="n"/>
      <c r="G73" s="39">
        <f>IF($B73="","",COUNTIFS('PROGRAM STATUS'!$A$5:$A$654,$B73,'PROGRAM STATUS'!$C$5:$C$654,"&lt;&gt;"))</f>
        <v>19</v>
      </c>
      <c r="H73" s="36">
        <f>IF($B73="","",COUNTIFS('PROGRAM STATUS'!$A$5:$A$654,$B73,'PROGRAM STATUS'!$E$5:$E$654,"Not Started"))</f>
        <v>0</v>
      </c>
      <c r="I73" s="36">
        <f>IF($B73="","",COUNTIFS('PROGRAM STATUS'!$A$5:$A$654,$B73,'PROGRAM STATUS'!$E$5:$E$654,"In Progress"))</f>
        <v>0</v>
      </c>
      <c r="J73" s="36">
        <f>IF($B73="","",COUNTIFS('PROGRAM STATUS'!$A$5:$A$654,$B73,'PROGRAM STATUS'!$E$5:$E$654,"Done"))</f>
        <v>0</v>
      </c>
      <c r="K73" s="36">
        <f>IF($B73="","",COUNTIFS('PROGRAM STATUS'!$A$5:$A$654,$B73,'PROGRAM STATUS'!$E$5:$E$654,"Blocked"))</f>
        <v>0</v>
      </c>
      <c r="L73" s="36">
        <f>IF($B73="","",G73-SUM(H73:K73))</f>
        <v>19</v>
      </c>
    </row>
    <row r="74">
      <c r="B74" s="34" t="str">
        <f>IF(LISTS!A9="","",LISTS!A9)</f>
        <v>Rahul Sondhi</v>
      </c>
      <c r="C74" s="32" t="n"/>
      <c r="D74" s="38" t="str">
        <f>IF($B74="","",IF(LISTS!B9="","",LISTS!B9))</f>
        <v>Video Lead</v>
      </c>
      <c r="E74" s="32" t="n"/>
      <c r="F74" s="32" t="n"/>
      <c r="G74" s="39">
        <f>IF($B74="","",COUNTIFS('PROGRAM STATUS'!$A$5:$A$654,$B74,'PROGRAM STATUS'!$C$5:$C$654,"&lt;&gt;"))</f>
        <v>0</v>
      </c>
      <c r="H74" s="36">
        <f>IF($B74="","",COUNTIFS('PROGRAM STATUS'!$A$5:$A$654,$B74,'PROGRAM STATUS'!$E$5:$E$654,"Not Started"))</f>
        <v>0</v>
      </c>
      <c r="I74" s="36">
        <f>IF($B74="","",COUNTIFS('PROGRAM STATUS'!$A$5:$A$654,$B74,'PROGRAM STATUS'!$E$5:$E$654,"In Progress"))</f>
        <v>0</v>
      </c>
      <c r="J74" s="36">
        <f>IF($B74="","",COUNTIFS('PROGRAM STATUS'!$A$5:$A$654,$B74,'PROGRAM STATUS'!$E$5:$E$654,"Done"))</f>
        <v>0</v>
      </c>
      <c r="K74" s="36">
        <f>IF($B74="","",COUNTIFS('PROGRAM STATUS'!$A$5:$A$654,$B74,'PROGRAM STATUS'!$E$5:$E$654,"Blocked"))</f>
        <v>0</v>
      </c>
      <c r="L74" s="36">
        <f>IF($B74="","",G74-SUM(H74:K74))</f>
        <v>0</v>
      </c>
    </row>
    <row r="75">
      <c r="B75" s="34" t="str">
        <f>IF(LISTS!A10="","",LISTS!A10)</f>
        <v>Priyanshu</v>
      </c>
      <c r="C75" s="32" t="n"/>
      <c r="D75" s="38" t="str">
        <f>IF($B75="","",IF(LISTS!B10="","",LISTS!B10))</f>
        <v>Content Lead</v>
      </c>
      <c r="E75" s="32" t="n"/>
      <c r="F75" s="32" t="n"/>
      <c r="G75" s="39">
        <f>IF($B75="","",COUNTIFS('PROGRAM STATUS'!$A$5:$A$654,$B75,'PROGRAM STATUS'!$C$5:$C$654,"&lt;&gt;"))</f>
        <v>0</v>
      </c>
      <c r="H75" s="36">
        <f>IF($B75="","",COUNTIFS('PROGRAM STATUS'!$A$5:$A$654,$B75,'PROGRAM STATUS'!$E$5:$E$654,"Not Started"))</f>
        <v>0</v>
      </c>
      <c r="I75" s="36">
        <f>IF($B75="","",COUNTIFS('PROGRAM STATUS'!$A$5:$A$654,$B75,'PROGRAM STATUS'!$E$5:$E$654,"In Progress"))</f>
        <v>0</v>
      </c>
      <c r="J75" s="36">
        <f>IF($B75="","",COUNTIFS('PROGRAM STATUS'!$A$5:$A$654,$B75,'PROGRAM STATUS'!$E$5:$E$654,"Done"))</f>
        <v>0</v>
      </c>
      <c r="K75" s="36">
        <f>IF($B75="","",COUNTIFS('PROGRAM STATUS'!$A$5:$A$654,$B75,'PROGRAM STATUS'!$E$5:$E$654,"Blocked"))</f>
        <v>0</v>
      </c>
      <c r="L75" s="36">
        <f>IF($B75="","",G75-SUM(H75:K75))</f>
        <v>0</v>
      </c>
    </row>
    <row r="76">
      <c r="B76" s="34" t="str">
        <f>IF(LISTS!A11="","",LISTS!A11)</f>
        <v>Richi Bagla</v>
      </c>
      <c r="C76" s="32" t="n"/>
      <c r="D76" s="38" t="str">
        <f>IF($B76="","",IF(LISTS!B11="","",LISTS!B11))</f>
        <v>Paid Ads Specialist / Program Manager</v>
      </c>
      <c r="E76" s="32" t="n"/>
      <c r="F76" s="32" t="n"/>
      <c r="G76" s="39">
        <f>IF($B76="","",COUNTIFS('PROGRAM STATUS'!$A$5:$A$654,$B76,'PROGRAM STATUS'!$C$5:$C$654,"&lt;&gt;"))</f>
        <v>7</v>
      </c>
      <c r="H76" s="36">
        <f>IF($B76="","",COUNTIFS('PROGRAM STATUS'!$A$5:$A$654,$B76,'PROGRAM STATUS'!$E$5:$E$654,"Not Started"))</f>
        <v>0</v>
      </c>
      <c r="I76" s="36">
        <f>IF($B76="","",COUNTIFS('PROGRAM STATUS'!$A$5:$A$654,$B76,'PROGRAM STATUS'!$E$5:$E$654,"In Progress"))</f>
        <v>0</v>
      </c>
      <c r="J76" s="36">
        <f>IF($B76="","",COUNTIFS('PROGRAM STATUS'!$A$5:$A$654,$B76,'PROGRAM STATUS'!$E$5:$E$654,"Done"))</f>
        <v>0</v>
      </c>
      <c r="K76" s="36">
        <f>IF($B76="","",COUNTIFS('PROGRAM STATUS'!$A$5:$A$654,$B76,'PROGRAM STATUS'!$E$5:$E$654,"Blocked"))</f>
        <v>0</v>
      </c>
      <c r="L76" s="36">
        <f>IF($B76="","",G76-SUM(H76:K76))</f>
        <v>7</v>
      </c>
    </row>
    <row r="77">
      <c r="B77" s="34" t="str">
        <f>IF(LISTS!A12="","",LISTS!A12)</f>
        <v>Kapil Chadha</v>
      </c>
      <c r="C77" s="32" t="n"/>
      <c r="D77" s="38" t="str">
        <f>IF($B77="","",IF(LISTS!B12="","",LISTS!B12))</f>
        <v>Consultant - SEO</v>
      </c>
      <c r="E77" s="32" t="n"/>
      <c r="F77" s="32" t="n"/>
      <c r="G77" s="39">
        <f>IF($B77="","",COUNTIFS('PROGRAM STATUS'!$A$5:$A$654,$B77,'PROGRAM STATUS'!$C$5:$C$654,"&lt;&gt;"))</f>
        <v>0</v>
      </c>
      <c r="H77" s="36">
        <f>IF($B77="","",COUNTIFS('PROGRAM STATUS'!$A$5:$A$654,$B77,'PROGRAM STATUS'!$E$5:$E$654,"Not Started"))</f>
        <v>0</v>
      </c>
      <c r="I77" s="36">
        <f>IF($B77="","",COUNTIFS('PROGRAM STATUS'!$A$5:$A$654,$B77,'PROGRAM STATUS'!$E$5:$E$654,"In Progress"))</f>
        <v>0</v>
      </c>
      <c r="J77" s="36">
        <f>IF($B77="","",COUNTIFS('PROGRAM STATUS'!$A$5:$A$654,$B77,'PROGRAM STATUS'!$E$5:$E$654,"Done"))</f>
        <v>0</v>
      </c>
      <c r="K77" s="36">
        <f>IF($B77="","",COUNTIFS('PROGRAM STATUS'!$A$5:$A$654,$B77,'PROGRAM STATUS'!$E$5:$E$654,"Blocked"))</f>
        <v>0</v>
      </c>
      <c r="L77" s="36">
        <f>IF($B77="","",G77-SUM(H77:K77))</f>
        <v>0</v>
      </c>
    </row>
    <row r="78">
      <c r="B78" s="34" t="str">
        <f>IF(LISTS!A13="","",LISTS!A13)</f>
        <v/>
      </c>
      <c r="C78" s="32" t="n"/>
      <c r="D78" s="38" t="str">
        <f>IF($B78="","",IF(LISTS!B13="","",LISTS!B13))</f>
        <v/>
      </c>
      <c r="E78" s="32" t="n"/>
      <c r="F78" s="32" t="n"/>
      <c r="G78" s="39" t="str">
        <f>IF($B78="","",COUNTIFS('PROGRAM STATUS'!$A$5:$A$654,$B78,'PROGRAM STATUS'!$C$5:$C$654,"&lt;&gt;"))</f>
        <v/>
      </c>
      <c r="H78" s="36" t="str">
        <f>IF($B78="","",COUNTIFS('PROGRAM STATUS'!$A$5:$A$654,$B78,'PROGRAM STATUS'!$E$5:$E$654,"Not Started"))</f>
        <v/>
      </c>
      <c r="I78" s="36" t="str">
        <f>IF($B78="","",COUNTIFS('PROGRAM STATUS'!$A$5:$A$654,$B78,'PROGRAM STATUS'!$E$5:$E$654,"In Progress"))</f>
        <v/>
      </c>
      <c r="J78" s="36" t="str">
        <f>IF($B78="","",COUNTIFS('PROGRAM STATUS'!$A$5:$A$654,$B78,'PROGRAM STATUS'!$E$5:$E$654,"Done"))</f>
        <v/>
      </c>
      <c r="K78" s="36" t="str">
        <f>IF($B78="","",COUNTIFS('PROGRAM STATUS'!$A$5:$A$654,$B78,'PROGRAM STATUS'!$E$5:$E$654,"Blocked"))</f>
        <v/>
      </c>
      <c r="L78" s="36" t="str">
        <f>IF($B78="","",G78-SUM(H78:K78))</f>
        <v/>
      </c>
    </row>
    <row r="79">
      <c r="B79" s="34" t="str">
        <f>IF(LISTS!A14="","",LISTS!A14)</f>
        <v/>
      </c>
      <c r="C79" s="32" t="n"/>
      <c r="D79" s="38" t="str">
        <f>IF($B79="","",IF(LISTS!B14="","",LISTS!B14))</f>
        <v/>
      </c>
      <c r="E79" s="32" t="n"/>
      <c r="F79" s="32" t="n"/>
      <c r="G79" s="39" t="str">
        <f>IF($B79="","",COUNTIFS('PROGRAM STATUS'!$A$5:$A$654,$B79,'PROGRAM STATUS'!$C$5:$C$654,"&lt;&gt;"))</f>
        <v/>
      </c>
      <c r="H79" s="36" t="str">
        <f>IF($B79="","",COUNTIFS('PROGRAM STATUS'!$A$5:$A$654,$B79,'PROGRAM STATUS'!$E$5:$E$654,"Not Started"))</f>
        <v/>
      </c>
      <c r="I79" s="36" t="str">
        <f>IF($B79="","",COUNTIFS('PROGRAM STATUS'!$A$5:$A$654,$B79,'PROGRAM STATUS'!$E$5:$E$654,"In Progress"))</f>
        <v/>
      </c>
      <c r="J79" s="36" t="str">
        <f>IF($B79="","",COUNTIFS('PROGRAM STATUS'!$A$5:$A$654,$B79,'PROGRAM STATUS'!$E$5:$E$654,"Done"))</f>
        <v/>
      </c>
      <c r="K79" s="36" t="str">
        <f>IF($B79="","",COUNTIFS('PROGRAM STATUS'!$A$5:$A$654,$B79,'PROGRAM STATUS'!$E$5:$E$654,"Blocked"))</f>
        <v/>
      </c>
      <c r="L79" s="36" t="str">
        <f>IF($B79="","",G79-SUM(H79:K79))</f>
        <v/>
      </c>
    </row>
    <row r="80">
      <c r="B80" s="34" t="str">
        <f>IF(LISTS!A15="","",LISTS!A15)</f>
        <v/>
      </c>
      <c r="C80" s="32" t="n"/>
      <c r="D80" s="38" t="str">
        <f>IF($B80="","",IF(LISTS!B15="","",LISTS!B15))</f>
        <v/>
      </c>
      <c r="E80" s="32" t="n"/>
      <c r="F80" s="32" t="n"/>
      <c r="G80" s="39" t="str">
        <f>IF($B80="","",COUNTIFS('PROGRAM STATUS'!$A$5:$A$654,$B80,'PROGRAM STATUS'!$C$5:$C$654,"&lt;&gt;"))</f>
        <v/>
      </c>
      <c r="H80" s="36" t="str">
        <f>IF($B80="","",COUNTIFS('PROGRAM STATUS'!$A$5:$A$654,$B80,'PROGRAM STATUS'!$E$5:$E$654,"Not Started"))</f>
        <v/>
      </c>
      <c r="I80" s="36" t="str">
        <f>IF($B80="","",COUNTIFS('PROGRAM STATUS'!$A$5:$A$654,$B80,'PROGRAM STATUS'!$E$5:$E$654,"In Progress"))</f>
        <v/>
      </c>
      <c r="J80" s="36" t="str">
        <f>IF($B80="","",COUNTIFS('PROGRAM STATUS'!$A$5:$A$654,$B80,'PROGRAM STATUS'!$E$5:$E$654,"Done"))</f>
        <v/>
      </c>
      <c r="K80" s="36" t="str">
        <f>IF($B80="","",COUNTIFS('PROGRAM STATUS'!$A$5:$A$654,$B80,'PROGRAM STATUS'!$E$5:$E$654,"Blocked"))</f>
        <v/>
      </c>
      <c r="L80" s="36" t="str">
        <f>IF($B80="","",G80-SUM(H80:K80))</f>
        <v/>
      </c>
    </row>
    <row r="81">
      <c r="B81" s="34" t="str">
        <f>IF(LISTS!A16="","",LISTS!A16)</f>
        <v/>
      </c>
      <c r="C81" s="32" t="n"/>
      <c r="D81" s="38" t="str">
        <f>IF($B81="","",IF(LISTS!B16="","",LISTS!B16))</f>
        <v/>
      </c>
      <c r="E81" s="32" t="n"/>
      <c r="F81" s="32" t="n"/>
      <c r="G81" s="39" t="str">
        <f>IF($B81="","",COUNTIFS('PROGRAM STATUS'!$A$5:$A$654,$B81,'PROGRAM STATUS'!$C$5:$C$654,"&lt;&gt;"))</f>
        <v/>
      </c>
      <c r="H81" s="36" t="str">
        <f>IF($B81="","",COUNTIFS('PROGRAM STATUS'!$A$5:$A$654,$B81,'PROGRAM STATUS'!$E$5:$E$654,"Not Started"))</f>
        <v/>
      </c>
      <c r="I81" s="36" t="str">
        <f>IF($B81="","",COUNTIFS('PROGRAM STATUS'!$A$5:$A$654,$B81,'PROGRAM STATUS'!$E$5:$E$654,"In Progress"))</f>
        <v/>
      </c>
      <c r="J81" s="36" t="str">
        <f>IF($B81="","",COUNTIFS('PROGRAM STATUS'!$A$5:$A$654,$B81,'PROGRAM STATUS'!$E$5:$E$654,"Done"))</f>
        <v/>
      </c>
      <c r="K81" s="36" t="str">
        <f>IF($B81="","",COUNTIFS('PROGRAM STATUS'!$A$5:$A$654,$B81,'PROGRAM STATUS'!$E$5:$E$654,"Blocked"))</f>
        <v/>
      </c>
      <c r="L81" s="36" t="str">
        <f>IF($B81="","",G81-SUM(H81:K81))</f>
        <v/>
      </c>
    </row>
    <row r="83" ht="22" customHeight="1">
      <c r="B83" s="11" t="inlineStr">
        <is>
          <t>CAMPAIGNS (all-time results from UPDATE STATS)</t>
        </is>
      </c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</row>
    <row r="84" ht="22" customHeight="1">
      <c r="B84" s="29" t="inlineStr">
        <is>
          <t>Campaign</t>
        </is>
      </c>
      <c r="C84" s="30" t="n"/>
      <c r="D84" s="30" t="n"/>
      <c r="E84" s="30" t="n"/>
      <c r="F84" s="29" t="inlineStr">
        <is>
          <t>Client</t>
        </is>
      </c>
      <c r="G84" s="30" t="n"/>
      <c r="H84" s="29" t="inlineStr">
        <is>
          <t>Owner</t>
        </is>
      </c>
      <c r="I84" s="29" t="inlineStr">
        <is>
          <t>Status</t>
        </is>
      </c>
      <c r="J84" s="29" t="inlineStr">
        <is>
          <t>Leads</t>
        </is>
      </c>
      <c r="K84" s="29" t="inlineStr">
        <is>
          <t>Target</t>
        </is>
      </c>
      <c r="L84" s="29" t="inlineStr">
        <is>
          <t>Check</t>
        </is>
      </c>
      <c r="M84" s="30" t="n"/>
    </row>
    <row r="85">
      <c r="B85" s="40" t="str">
        <f>IF(CAMPAIGNS!$B5="","",IF(CAMPAIGNS!B5="","",CAMPAIGNS!B5))</f>
        <v>SAP Partner Campaign - Citek</v>
      </c>
      <c r="C85" s="32" t="n"/>
      <c r="D85" s="32" t="n"/>
      <c r="E85" s="32" t="n"/>
      <c r="F85" s="31" t="str">
        <f>IF(CAMPAIGNS!$B5="","",IF(CAMPAIGNS!A5="","",CAMPAIGNS!A5))</f>
        <v>SAP</v>
      </c>
      <c r="G85" s="32" t="n"/>
      <c r="H85" s="35" t="str">
        <f>IF(CAMPAIGNS!$B5="","",IF(CAMPAIGNS!D5="","",CAMPAIGNS!D5))</f>
        <v>Surbhi Pandey</v>
      </c>
      <c r="I85" s="35" t="str">
        <f>IF(CAMPAIGNS!$B5="","",IF(CAMPAIGNS!E5="","",CAMPAIGNS!E5))</f>
        <v/>
      </c>
      <c r="J85" s="41">
        <f>IF(CAMPAIGNS!$B5="","",IF(CAMPAIGNS!J5="","",CAMPAIGNS!J5))</f>
        <v>0</v>
      </c>
      <c r="K85" s="41" t="str">
        <f>IF(CAMPAIGNS!$B5="","",IF(CAMPAIGNS!H5="","",CAMPAIGNS!H5))</f>
        <v/>
      </c>
      <c r="L85" s="35" t="str">
        <f>IF(CAMPAIGNS!$B5="","",IF(CAMPAIGNS!O5="","",CAMPAIGNS!O5))</f>
        <v/>
      </c>
      <c r="M85" s="32" t="n"/>
    </row>
    <row r="86">
      <c r="B86" s="40" t="str">
        <f>IF(CAMPAIGNS!$B6="","",IF(CAMPAIGNS!B6="","",CAMPAIGNS!B6))</f>
        <v>SAP Partner Campaign - Apptech</v>
      </c>
      <c r="C86" s="32" t="n"/>
      <c r="D86" s="32" t="n"/>
      <c r="E86" s="32" t="n"/>
      <c r="F86" s="31" t="str">
        <f>IF(CAMPAIGNS!$B6="","",IF(CAMPAIGNS!A6="","",CAMPAIGNS!A6))</f>
        <v>SAP</v>
      </c>
      <c r="G86" s="32" t="n"/>
      <c r="H86" s="35" t="str">
        <f>IF(CAMPAIGNS!$B6="","",IF(CAMPAIGNS!D6="","",CAMPAIGNS!D6))</f>
        <v>Surbhi Pandey</v>
      </c>
      <c r="I86" s="35" t="str">
        <f>IF(CAMPAIGNS!$B6="","",IF(CAMPAIGNS!E6="","",CAMPAIGNS!E6))</f>
        <v/>
      </c>
      <c r="J86" s="41">
        <f>IF(CAMPAIGNS!$B6="","",IF(CAMPAIGNS!J6="","",CAMPAIGNS!J6))</f>
        <v>0</v>
      </c>
      <c r="K86" s="41" t="str">
        <f>IF(CAMPAIGNS!$B6="","",IF(CAMPAIGNS!H6="","",CAMPAIGNS!H6))</f>
        <v/>
      </c>
      <c r="L86" s="35" t="str">
        <f>IF(CAMPAIGNS!$B6="","",IF(CAMPAIGNS!O6="","",CAMPAIGNS!O6))</f>
        <v/>
      </c>
      <c r="M86" s="32" t="n"/>
    </row>
    <row r="87">
      <c r="B87" s="40" t="str">
        <f>IF(CAMPAIGNS!$B7="","",IF(CAMPAIGNS!B7="","",CAMPAIGNS!B7))</f>
        <v>SAP Partner Campaign - Netizen</v>
      </c>
      <c r="C87" s="32" t="n"/>
      <c r="D87" s="32" t="n"/>
      <c r="E87" s="32" t="n"/>
      <c r="F87" s="31" t="str">
        <f>IF(CAMPAIGNS!$B7="","",IF(CAMPAIGNS!A7="","",CAMPAIGNS!A7))</f>
        <v>SAP</v>
      </c>
      <c r="G87" s="32" t="n"/>
      <c r="H87" s="35" t="str">
        <f>IF(CAMPAIGNS!$B7="","",IF(CAMPAIGNS!D7="","",CAMPAIGNS!D7))</f>
        <v>Surbhi Pandey</v>
      </c>
      <c r="I87" s="35" t="str">
        <f>IF(CAMPAIGNS!$B7="","",IF(CAMPAIGNS!E7="","",CAMPAIGNS!E7))</f>
        <v/>
      </c>
      <c r="J87" s="41">
        <f>IF(CAMPAIGNS!$B7="","",IF(CAMPAIGNS!J7="","",CAMPAIGNS!J7))</f>
        <v>0</v>
      </c>
      <c r="K87" s="41" t="str">
        <f>IF(CAMPAIGNS!$B7="","",IF(CAMPAIGNS!H7="","",CAMPAIGNS!H7))</f>
        <v/>
      </c>
      <c r="L87" s="35" t="str">
        <f>IF(CAMPAIGNS!$B7="","",IF(CAMPAIGNS!O7="","",CAMPAIGNS!O7))</f>
        <v/>
      </c>
      <c r="M87" s="32" t="n"/>
    </row>
    <row r="88">
      <c r="B88" s="40" t="str">
        <f>IF(CAMPAIGNS!$B8="","",IF(CAMPAIGNS!B8="","",CAMPAIGNS!B8))</f>
        <v>SAP Partner Campaign - Ikyam</v>
      </c>
      <c r="C88" s="32" t="n"/>
      <c r="D88" s="32" t="n"/>
      <c r="E88" s="32" t="n"/>
      <c r="F88" s="31" t="str">
        <f>IF(CAMPAIGNS!$B8="","",IF(CAMPAIGNS!A8="","",CAMPAIGNS!A8))</f>
        <v>SAP</v>
      </c>
      <c r="G88" s="32" t="n"/>
      <c r="H88" s="35" t="str">
        <f>IF(CAMPAIGNS!$B8="","",IF(CAMPAIGNS!D8="","",CAMPAIGNS!D8))</f>
        <v>Surbhi Pandey</v>
      </c>
      <c r="I88" s="35" t="str">
        <f>IF(CAMPAIGNS!$B8="","",IF(CAMPAIGNS!E8="","",CAMPAIGNS!E8))</f>
        <v/>
      </c>
      <c r="J88" s="41">
        <f>IF(CAMPAIGNS!$B8="","",IF(CAMPAIGNS!J8="","",CAMPAIGNS!J8))</f>
        <v>0</v>
      </c>
      <c r="K88" s="41" t="str">
        <f>IF(CAMPAIGNS!$B8="","",IF(CAMPAIGNS!H8="","",CAMPAIGNS!H8))</f>
        <v/>
      </c>
      <c r="L88" s="35" t="str">
        <f>IF(CAMPAIGNS!$B8="","",IF(CAMPAIGNS!O8="","",CAMPAIGNS!O8))</f>
        <v/>
      </c>
      <c r="M88" s="32" t="n"/>
    </row>
    <row r="89">
      <c r="B89" s="40" t="str">
        <f>IF(CAMPAIGNS!$B9="","",IF(CAMPAIGNS!B9="","",CAMPAIGNS!B9))</f>
        <v>SAP Partner Campaign - Castaliaz</v>
      </c>
      <c r="C89" s="32" t="n"/>
      <c r="D89" s="32" t="n"/>
      <c r="E89" s="32" t="n"/>
      <c r="F89" s="31" t="str">
        <f>IF(CAMPAIGNS!$B9="","",IF(CAMPAIGNS!A9="","",CAMPAIGNS!A9))</f>
        <v>SAP</v>
      </c>
      <c r="G89" s="32" t="n"/>
      <c r="H89" s="35" t="str">
        <f>IF(CAMPAIGNS!$B9="","",IF(CAMPAIGNS!D9="","",CAMPAIGNS!D9))</f>
        <v>Surbhi Pandey</v>
      </c>
      <c r="I89" s="35" t="str">
        <f>IF(CAMPAIGNS!$B9="","",IF(CAMPAIGNS!E9="","",CAMPAIGNS!E9))</f>
        <v/>
      </c>
      <c r="J89" s="41">
        <f>IF(CAMPAIGNS!$B9="","",IF(CAMPAIGNS!J9="","",CAMPAIGNS!J9))</f>
        <v>0</v>
      </c>
      <c r="K89" s="41" t="str">
        <f>IF(CAMPAIGNS!$B9="","",IF(CAMPAIGNS!H9="","",CAMPAIGNS!H9))</f>
        <v/>
      </c>
      <c r="L89" s="35" t="str">
        <f>IF(CAMPAIGNS!$B9="","",IF(CAMPAIGNS!O9="","",CAMPAIGNS!O9))</f>
        <v/>
      </c>
      <c r="M89" s="32" t="n"/>
    </row>
    <row r="90">
      <c r="B90" s="40" t="str">
        <f>IF(CAMPAIGNS!$B10="","",IF(CAMPAIGNS!B10="","",CAMPAIGNS!B10))</f>
        <v>SAP Partner Campaign - Truspeq</v>
      </c>
      <c r="C90" s="32" t="n"/>
      <c r="D90" s="32" t="n"/>
      <c r="E90" s="32" t="n"/>
      <c r="F90" s="31" t="str">
        <f>IF(CAMPAIGNS!$B10="","",IF(CAMPAIGNS!A10="","",CAMPAIGNS!A10))</f>
        <v>SAP</v>
      </c>
      <c r="G90" s="32" t="n"/>
      <c r="H90" s="35" t="str">
        <f>IF(CAMPAIGNS!$B10="","",IF(CAMPAIGNS!D10="","",CAMPAIGNS!D10))</f>
        <v>Surbhi Pandey</v>
      </c>
      <c r="I90" s="35" t="str">
        <f>IF(CAMPAIGNS!$B10="","",IF(CAMPAIGNS!E10="","",CAMPAIGNS!E10))</f>
        <v/>
      </c>
      <c r="J90" s="41">
        <f>IF(CAMPAIGNS!$B10="","",IF(CAMPAIGNS!J10="","",CAMPAIGNS!J10))</f>
        <v>0</v>
      </c>
      <c r="K90" s="41" t="str">
        <f>IF(CAMPAIGNS!$B10="","",IF(CAMPAIGNS!H10="","",CAMPAIGNS!H10))</f>
        <v/>
      </c>
      <c r="L90" s="35" t="str">
        <f>IF(CAMPAIGNS!$B10="","",IF(CAMPAIGNS!O10="","",CAMPAIGNS!O10))</f>
        <v/>
      </c>
      <c r="M90" s="32" t="n"/>
    </row>
    <row r="91">
      <c r="B91" s="40" t="str">
        <f>IF(CAMPAIGNS!$B11="","",IF(CAMPAIGNS!B11="","",CAMPAIGNS!B11))</f>
        <v>SAP Partner Campaign - NTT Data</v>
      </c>
      <c r="C91" s="32" t="n"/>
      <c r="D91" s="32" t="n"/>
      <c r="E91" s="32" t="n"/>
      <c r="F91" s="31" t="str">
        <f>IF(CAMPAIGNS!$B11="","",IF(CAMPAIGNS!A11="","",CAMPAIGNS!A11))</f>
        <v>SAP</v>
      </c>
      <c r="G91" s="32" t="n"/>
      <c r="H91" s="35" t="str">
        <f>IF(CAMPAIGNS!$B11="","",IF(CAMPAIGNS!D11="","",CAMPAIGNS!D11))</f>
        <v>Surbhi Pandey</v>
      </c>
      <c r="I91" s="35" t="str">
        <f>IF(CAMPAIGNS!$B11="","",IF(CAMPAIGNS!E11="","",CAMPAIGNS!E11))</f>
        <v/>
      </c>
      <c r="J91" s="41">
        <f>IF(CAMPAIGNS!$B11="","",IF(CAMPAIGNS!J11="","",CAMPAIGNS!J11))</f>
        <v>0</v>
      </c>
      <c r="K91" s="41" t="str">
        <f>IF(CAMPAIGNS!$B11="","",IF(CAMPAIGNS!H11="","",CAMPAIGNS!H11))</f>
        <v/>
      </c>
      <c r="L91" s="35" t="str">
        <f>IF(CAMPAIGNS!$B11="","",IF(CAMPAIGNS!O11="","",CAMPAIGNS!O11))</f>
        <v/>
      </c>
      <c r="M91" s="32" t="n"/>
    </row>
    <row r="92">
      <c r="B92" s="40" t="str">
        <f>IF(CAMPAIGNS!$B12="","",IF(CAMPAIGNS!B12="","",CAMPAIGNS!B12))</f>
        <v>SAP Partner Campaign - Abeam TH</v>
      </c>
      <c r="C92" s="32" t="n"/>
      <c r="D92" s="32" t="n"/>
      <c r="E92" s="32" t="n"/>
      <c r="F92" s="31" t="str">
        <f>IF(CAMPAIGNS!$B12="","",IF(CAMPAIGNS!A12="","",CAMPAIGNS!A12))</f>
        <v>SAP</v>
      </c>
      <c r="G92" s="32" t="n"/>
      <c r="H92" s="35" t="str">
        <f>IF(CAMPAIGNS!$B12="","",IF(CAMPAIGNS!D12="","",CAMPAIGNS!D12))</f>
        <v>Surbhi Pandey</v>
      </c>
      <c r="I92" s="35" t="str">
        <f>IF(CAMPAIGNS!$B12="","",IF(CAMPAIGNS!E12="","",CAMPAIGNS!E12))</f>
        <v/>
      </c>
      <c r="J92" s="41">
        <f>IF(CAMPAIGNS!$B12="","",IF(CAMPAIGNS!J12="","",CAMPAIGNS!J12))</f>
        <v>0</v>
      </c>
      <c r="K92" s="41" t="str">
        <f>IF(CAMPAIGNS!$B12="","",IF(CAMPAIGNS!H12="","",CAMPAIGNS!H12))</f>
        <v/>
      </c>
      <c r="L92" s="35" t="str">
        <f>IF(CAMPAIGNS!$B12="","",IF(CAMPAIGNS!O12="","",CAMPAIGNS!O12))</f>
        <v/>
      </c>
      <c r="M92" s="32" t="n"/>
    </row>
    <row r="93">
      <c r="B93" s="40" t="str">
        <f>IF(CAMPAIGNS!$B13="","",IF(CAMPAIGNS!B13="","",CAMPAIGNS!B13))</f>
        <v>Utimaco Singapore</v>
      </c>
      <c r="C93" s="32" t="n"/>
      <c r="D93" s="32" t="n"/>
      <c r="E93" s="32" t="n"/>
      <c r="F93" s="31" t="str">
        <f>IF(CAMPAIGNS!$B13="","",IF(CAMPAIGNS!A13="","",CAMPAIGNS!A13))</f>
        <v>Utimaco Singapore</v>
      </c>
      <c r="G93" s="32" t="n"/>
      <c r="H93" s="35" t="str">
        <f>IF(CAMPAIGNS!$B13="","",IF(CAMPAIGNS!D13="","",CAMPAIGNS!D13))</f>
        <v>Surbhi Pandey</v>
      </c>
      <c r="I93" s="35" t="str">
        <f>IF(CAMPAIGNS!$B13="","",IF(CAMPAIGNS!E13="","",CAMPAIGNS!E13))</f>
        <v/>
      </c>
      <c r="J93" s="41">
        <f>IF(CAMPAIGNS!$B13="","",IF(CAMPAIGNS!J13="","",CAMPAIGNS!J13))</f>
        <v>0</v>
      </c>
      <c r="K93" s="41" t="str">
        <f>IF(CAMPAIGNS!$B13="","",IF(CAMPAIGNS!H13="","",CAMPAIGNS!H13))</f>
        <v/>
      </c>
      <c r="L93" s="35" t="str">
        <f>IF(CAMPAIGNS!$B13="","",IF(CAMPAIGNS!O13="","",CAMPAIGNS!O13))</f>
        <v/>
      </c>
      <c r="M93" s="32" t="n"/>
    </row>
    <row r="94">
      <c r="B94" s="40" t="str">
        <f>IF(CAMPAIGNS!$B14="","",IF(CAMPAIGNS!B14="","",CAMPAIGNS!B14))</f>
        <v>SAP Success Factor HR Bengaluru</v>
      </c>
      <c r="C94" s="32" t="n"/>
      <c r="D94" s="32" t="n"/>
      <c r="E94" s="32" t="n"/>
      <c r="F94" s="31" t="str">
        <f>IF(CAMPAIGNS!$B14="","",IF(CAMPAIGNS!A14="","",CAMPAIGNS!A14))</f>
        <v>SAP</v>
      </c>
      <c r="G94" s="32" t="n"/>
      <c r="H94" s="35" t="str">
        <f>IF(CAMPAIGNS!$B14="","",IF(CAMPAIGNS!D14="","",CAMPAIGNS!D14))</f>
        <v>Surbhi Pandey</v>
      </c>
      <c r="I94" s="35" t="str">
        <f>IF(CAMPAIGNS!$B14="","",IF(CAMPAIGNS!E14="","",CAMPAIGNS!E14))</f>
        <v/>
      </c>
      <c r="J94" s="41">
        <f>IF(CAMPAIGNS!$B14="","",IF(CAMPAIGNS!J14="","",CAMPAIGNS!J14))</f>
        <v>0</v>
      </c>
      <c r="K94" s="41" t="str">
        <f>IF(CAMPAIGNS!$B14="","",IF(CAMPAIGNS!H14="","",CAMPAIGNS!H14))</f>
        <v/>
      </c>
      <c r="L94" s="35" t="str">
        <f>IF(CAMPAIGNS!$B14="","",IF(CAMPAIGNS!O14="","",CAMPAIGNS!O14))</f>
        <v/>
      </c>
      <c r="M94" s="32" t="n"/>
    </row>
    <row r="95">
      <c r="B95" s="40" t="str">
        <f>IF(CAMPAIGNS!$B15="","",IF(CAMPAIGNS!B15="","",CAMPAIGNS!B15))</f>
        <v>SAP Viksit Bharat</v>
      </c>
      <c r="C95" s="32" t="n"/>
      <c r="D95" s="32" t="n"/>
      <c r="E95" s="32" t="n"/>
      <c r="F95" s="31" t="str">
        <f>IF(CAMPAIGNS!$B15="","",IF(CAMPAIGNS!A15="","",CAMPAIGNS!A15))</f>
        <v>SAP</v>
      </c>
      <c r="G95" s="32" t="n"/>
      <c r="H95" s="35" t="str">
        <f>IF(CAMPAIGNS!$B15="","",IF(CAMPAIGNS!D15="","",CAMPAIGNS!D15))</f>
        <v>Surbhi Pandey</v>
      </c>
      <c r="I95" s="35" t="str">
        <f>IF(CAMPAIGNS!$B15="","",IF(CAMPAIGNS!E15="","",CAMPAIGNS!E15))</f>
        <v/>
      </c>
      <c r="J95" s="41">
        <f>IF(CAMPAIGNS!$B15="","",IF(CAMPAIGNS!J15="","",CAMPAIGNS!J15))</f>
        <v>0</v>
      </c>
      <c r="K95" s="41" t="str">
        <f>IF(CAMPAIGNS!$B15="","",IF(CAMPAIGNS!H15="","",CAMPAIGNS!H15))</f>
        <v/>
      </c>
      <c r="L95" s="35" t="str">
        <f>IF(CAMPAIGNS!$B15="","",IF(CAMPAIGNS!O15="","",CAMPAIGNS!O15))</f>
        <v/>
      </c>
      <c r="M95" s="32" t="n"/>
    </row>
    <row r="96">
      <c r="B96" s="40" t="str">
        <f>IF(CAMPAIGNS!$B16="","",IF(CAMPAIGNS!B16="","",CAMPAIGNS!B16))</f>
        <v>SAP Success Factor Delhi</v>
      </c>
      <c r="C96" s="32" t="n"/>
      <c r="D96" s="32" t="n"/>
      <c r="E96" s="32" t="n"/>
      <c r="F96" s="31" t="str">
        <f>IF(CAMPAIGNS!$B16="","",IF(CAMPAIGNS!A16="","",CAMPAIGNS!A16))</f>
        <v>SAP</v>
      </c>
      <c r="G96" s="32" t="n"/>
      <c r="H96" s="35" t="str">
        <f>IF(CAMPAIGNS!$B16="","",IF(CAMPAIGNS!D16="","",CAMPAIGNS!D16))</f>
        <v>Surbhi Pandey</v>
      </c>
      <c r="I96" s="35" t="str">
        <f>IF(CAMPAIGNS!$B16="","",IF(CAMPAIGNS!E16="","",CAMPAIGNS!E16))</f>
        <v/>
      </c>
      <c r="J96" s="41">
        <f>IF(CAMPAIGNS!$B16="","",IF(CAMPAIGNS!J16="","",CAMPAIGNS!J16))</f>
        <v>0</v>
      </c>
      <c r="K96" s="41" t="str">
        <f>IF(CAMPAIGNS!$B16="","",IF(CAMPAIGNS!H16="","",CAMPAIGNS!H16))</f>
        <v/>
      </c>
      <c r="L96" s="35" t="str">
        <f>IF(CAMPAIGNS!$B16="","",IF(CAMPAIGNS!O16="","",CAMPAIGNS!O16))</f>
        <v/>
      </c>
      <c r="M96" s="32" t="n"/>
    </row>
    <row r="97">
      <c r="B97" s="40" t="str">
        <f>IF(CAMPAIGNS!$B17="","",IF(CAMPAIGNS!B17="","",CAMPAIGNS!B17))</f>
        <v>SAP HRMS</v>
      </c>
      <c r="C97" s="32" t="n"/>
      <c r="D97" s="32" t="n"/>
      <c r="E97" s="32" t="n"/>
      <c r="F97" s="31" t="str">
        <f>IF(CAMPAIGNS!$B17="","",IF(CAMPAIGNS!A17="","",CAMPAIGNS!A17))</f>
        <v>SAP</v>
      </c>
      <c r="G97" s="32" t="n"/>
      <c r="H97" s="35" t="str">
        <f>IF(CAMPAIGNS!$B17="","",IF(CAMPAIGNS!D17="","",CAMPAIGNS!D17))</f>
        <v>Surbhi Pandey</v>
      </c>
      <c r="I97" s="35" t="str">
        <f>IF(CAMPAIGNS!$B17="","",IF(CAMPAIGNS!E17="","",CAMPAIGNS!E17))</f>
        <v/>
      </c>
      <c r="J97" s="41">
        <f>IF(CAMPAIGNS!$B17="","",IF(CAMPAIGNS!J17="","",CAMPAIGNS!J17))</f>
        <v>0</v>
      </c>
      <c r="K97" s="41" t="str">
        <f>IF(CAMPAIGNS!$B17="","",IF(CAMPAIGNS!H17="","",CAMPAIGNS!H17))</f>
        <v/>
      </c>
      <c r="L97" s="35" t="str">
        <f>IF(CAMPAIGNS!$B17="","",IF(CAMPAIGNS!O17="","",CAMPAIGNS!O17))</f>
        <v/>
      </c>
      <c r="M97" s="32" t="n"/>
    </row>
    <row r="98">
      <c r="B98" s="40" t="str">
        <f>IF(CAMPAIGNS!$B18="","",IF(CAMPAIGNS!B18="","",CAMPAIGNS!B18))</f>
        <v>Vestrics - Google Ads</v>
      </c>
      <c r="C98" s="32" t="n"/>
      <c r="D98" s="32" t="n"/>
      <c r="E98" s="32" t="n"/>
      <c r="F98" s="31" t="str">
        <f>IF(CAMPAIGNS!$B18="","",IF(CAMPAIGNS!A18="","",CAMPAIGNS!A18))</f>
        <v>Vestrics</v>
      </c>
      <c r="G98" s="32" t="n"/>
      <c r="H98" s="35" t="str">
        <f>IF(CAMPAIGNS!$B18="","",IF(CAMPAIGNS!D18="","",CAMPAIGNS!D18))</f>
        <v>Richi Bagla</v>
      </c>
      <c r="I98" s="35" t="str">
        <f>IF(CAMPAIGNS!$B18="","",IF(CAMPAIGNS!E18="","",CAMPAIGNS!E18))</f>
        <v/>
      </c>
      <c r="J98" s="41">
        <f>IF(CAMPAIGNS!$B18="","",IF(CAMPAIGNS!J18="","",CAMPAIGNS!J18))</f>
        <v>0</v>
      </c>
      <c r="K98" s="41" t="str">
        <f>IF(CAMPAIGNS!$B18="","",IF(CAMPAIGNS!H18="","",CAMPAIGNS!H18))</f>
        <v/>
      </c>
      <c r="L98" s="35" t="str">
        <f>IF(CAMPAIGNS!$B18="","",IF(CAMPAIGNS!O18="","",CAMPAIGNS!O18))</f>
        <v/>
      </c>
      <c r="M98" s="32" t="n"/>
    </row>
    <row r="99">
      <c r="B99" s="40" t="str">
        <f>IF(CAMPAIGNS!$B19="","",IF(CAMPAIGNS!B19="","",CAMPAIGNS!B19))</f>
        <v>Eternelle - Google Ads</v>
      </c>
      <c r="C99" s="32" t="n"/>
      <c r="D99" s="32" t="n"/>
      <c r="E99" s="32" t="n"/>
      <c r="F99" s="31" t="str">
        <f>IF(CAMPAIGNS!$B19="","",IF(CAMPAIGNS!A19="","",CAMPAIGNS!A19))</f>
        <v>Eternelle</v>
      </c>
      <c r="G99" s="32" t="n"/>
      <c r="H99" s="35" t="str">
        <f>IF(CAMPAIGNS!$B19="","",IF(CAMPAIGNS!D19="","",CAMPAIGNS!D19))</f>
        <v>Richi Bagla</v>
      </c>
      <c r="I99" s="35" t="str">
        <f>IF(CAMPAIGNS!$B19="","",IF(CAMPAIGNS!E19="","",CAMPAIGNS!E19))</f>
        <v/>
      </c>
      <c r="J99" s="41">
        <f>IF(CAMPAIGNS!$B19="","",IF(CAMPAIGNS!J19="","",CAMPAIGNS!J19))</f>
        <v>0</v>
      </c>
      <c r="K99" s="41" t="str">
        <f>IF(CAMPAIGNS!$B19="","",IF(CAMPAIGNS!H19="","",CAMPAIGNS!H19))</f>
        <v/>
      </c>
      <c r="L99" s="35" t="str">
        <f>IF(CAMPAIGNS!$B19="","",IF(CAMPAIGNS!O19="","",CAMPAIGNS!O19))</f>
        <v/>
      </c>
      <c r="M99" s="32" t="n"/>
    </row>
    <row r="100">
      <c r="B100" s="40" t="str">
        <f>IF(CAMPAIGNS!$B20="","",IF(CAMPAIGNS!B20="","",CAMPAIGNS!B20))</f>
        <v>Magnasoft - Google Ads</v>
      </c>
      <c r="C100" s="32" t="n"/>
      <c r="D100" s="32" t="n"/>
      <c r="E100" s="32" t="n"/>
      <c r="F100" s="31" t="str">
        <f>IF(CAMPAIGNS!$B20="","",IF(CAMPAIGNS!A20="","",CAMPAIGNS!A20))</f>
        <v>Magnasoft</v>
      </c>
      <c r="G100" s="32" t="n"/>
      <c r="H100" s="35" t="str">
        <f>IF(CAMPAIGNS!$B20="","",IF(CAMPAIGNS!D20="","",CAMPAIGNS!D20))</f>
        <v>Richi Bagla</v>
      </c>
      <c r="I100" s="35" t="str">
        <f>IF(CAMPAIGNS!$B20="","",IF(CAMPAIGNS!E20="","",CAMPAIGNS!E20))</f>
        <v/>
      </c>
      <c r="J100" s="41">
        <f>IF(CAMPAIGNS!$B20="","",IF(CAMPAIGNS!J20="","",CAMPAIGNS!J20))</f>
        <v>0</v>
      </c>
      <c r="K100" s="41" t="str">
        <f>IF(CAMPAIGNS!$B20="","",IF(CAMPAIGNS!H20="","",CAMPAIGNS!H20))</f>
        <v/>
      </c>
      <c r="L100" s="35" t="str">
        <f>IF(CAMPAIGNS!$B20="","",IF(CAMPAIGNS!O20="","",CAMPAIGNS!O20))</f>
        <v/>
      </c>
      <c r="M100" s="32" t="n"/>
    </row>
    <row r="101">
      <c r="B101" s="40" t="str">
        <f>IF(CAMPAIGNS!$B21="","",IF(CAMPAIGNS!B21="","",CAMPAIGNS!B21))</f>
        <v>Ruckus - Content Syndication (Email)</v>
      </c>
      <c r="C101" s="32" t="n"/>
      <c r="D101" s="32" t="n"/>
      <c r="E101" s="32" t="n"/>
      <c r="F101" s="31" t="str">
        <f>IF(CAMPAIGNS!$B21="","",IF(CAMPAIGNS!A21="","",CAMPAIGNS!A21))</f>
        <v>Ruckus Networks</v>
      </c>
      <c r="G101" s="32" t="n"/>
      <c r="H101" s="35" t="str">
        <f>IF(CAMPAIGNS!$B21="","",IF(CAMPAIGNS!D21="","",CAMPAIGNS!D21))</f>
        <v>Richi Bagla</v>
      </c>
      <c r="I101" s="35" t="str">
        <f>IF(CAMPAIGNS!$B21="","",IF(CAMPAIGNS!E21="","",CAMPAIGNS!E21))</f>
        <v/>
      </c>
      <c r="J101" s="41">
        <f>IF(CAMPAIGNS!$B21="","",IF(CAMPAIGNS!J21="","",CAMPAIGNS!J21))</f>
        <v>0</v>
      </c>
      <c r="K101" s="41">
        <f>IF(CAMPAIGNS!$B21="","",IF(CAMPAIGNS!H21="","",CAMPAIGNS!H21))</f>
        <v>50</v>
      </c>
      <c r="L101" s="35" t="str">
        <f>IF(CAMPAIGNS!$B21="","",IF(CAMPAIGNS!O21="","",CAMPAIGNS!O21))</f>
        <v/>
      </c>
      <c r="M101" s="32" t="n"/>
    </row>
    <row r="102">
      <c r="B102" s="40" t="str">
        <f>IF(CAMPAIGNS!$B22="","",IF(CAMPAIGNS!B22="","",CAMPAIGNS!B22))</f>
        <v>Equinix - Content Syndication (Email)</v>
      </c>
      <c r="C102" s="32" t="n"/>
      <c r="D102" s="32" t="n"/>
      <c r="E102" s="32" t="n"/>
      <c r="F102" s="31" t="str">
        <f>IF(CAMPAIGNS!$B22="","",IF(CAMPAIGNS!A22="","",CAMPAIGNS!A22))</f>
        <v>Equinix</v>
      </c>
      <c r="G102" s="32" t="n"/>
      <c r="H102" s="35" t="str">
        <f>IF(CAMPAIGNS!$B22="","",IF(CAMPAIGNS!D22="","",CAMPAIGNS!D22))</f>
        <v>Richi Bagla</v>
      </c>
      <c r="I102" s="35" t="str">
        <f>IF(CAMPAIGNS!$B22="","",IF(CAMPAIGNS!E22="","",CAMPAIGNS!E22))</f>
        <v/>
      </c>
      <c r="J102" s="41">
        <f>IF(CAMPAIGNS!$B22="","",IF(CAMPAIGNS!J22="","",CAMPAIGNS!J22))</f>
        <v>0</v>
      </c>
      <c r="K102" s="41">
        <f>IF(CAMPAIGNS!$B22="","",IF(CAMPAIGNS!H22="","",CAMPAIGNS!H22))</f>
        <v>150</v>
      </c>
      <c r="L102" s="35" t="str">
        <f>IF(CAMPAIGNS!$B22="","",IF(CAMPAIGNS!O22="","",CAMPAIGNS!O22))</f>
        <v/>
      </c>
      <c r="M102" s="32" t="n"/>
    </row>
    <row r="103">
      <c r="B103" s="40" t="str">
        <f>IF(CAMPAIGNS!$B23="","",IF(CAMPAIGNS!B23="","",CAMPAIGNS!B23))</f>
        <v>Google Chrome - Content Syndication (Email)</v>
      </c>
      <c r="C103" s="32" t="n"/>
      <c r="D103" s="32" t="n"/>
      <c r="E103" s="32" t="n"/>
      <c r="F103" s="31" t="str">
        <f>IF(CAMPAIGNS!$B23="","",IF(CAMPAIGNS!A23="","",CAMPAIGNS!A23))</f>
        <v>Google Chrome Enterprise</v>
      </c>
      <c r="G103" s="32" t="n"/>
      <c r="H103" s="35" t="str">
        <f>IF(CAMPAIGNS!$B23="","",IF(CAMPAIGNS!D23="","",CAMPAIGNS!D23))</f>
        <v>Riya Diwan</v>
      </c>
      <c r="I103" s="35" t="str">
        <f>IF(CAMPAIGNS!$B23="","",IF(CAMPAIGNS!E23="","",CAMPAIGNS!E23))</f>
        <v/>
      </c>
      <c r="J103" s="41">
        <f>IF(CAMPAIGNS!$B23="","",IF(CAMPAIGNS!J23="","",CAMPAIGNS!J23))</f>
        <v>0</v>
      </c>
      <c r="K103" s="41" t="str">
        <f>IF(CAMPAIGNS!$B23="","",IF(CAMPAIGNS!H23="","",CAMPAIGNS!H23))</f>
        <v/>
      </c>
      <c r="L103" s="35" t="str">
        <f>IF(CAMPAIGNS!$B23="","",IF(CAMPAIGNS!O23="","",CAMPAIGNS!O23))</f>
        <v/>
      </c>
      <c r="M103" s="32" t="n"/>
    </row>
    <row r="104">
      <c r="B104" s="40" t="str">
        <f>IF(CAMPAIGNS!$B24="","",IF(CAMPAIGNS!B24="","",CAMPAIGNS!B24))</f>
        <v>Chola MS - SEO &amp; Social Media</v>
      </c>
      <c r="C104" s="32" t="n"/>
      <c r="D104" s="32" t="n"/>
      <c r="E104" s="32" t="n"/>
      <c r="F104" s="31" t="str">
        <f>IF(CAMPAIGNS!$B24="","",IF(CAMPAIGNS!A24="","",CAMPAIGNS!A24))</f>
        <v>Chola MS</v>
      </c>
      <c r="G104" s="32" t="n"/>
      <c r="H104" s="35" t="str">
        <f>IF(CAMPAIGNS!$B24="","",IF(CAMPAIGNS!D24="","",CAMPAIGNS!D24))</f>
        <v>Ayush Jain</v>
      </c>
      <c r="I104" s="35" t="str">
        <f>IF(CAMPAIGNS!$B24="","",IF(CAMPAIGNS!E24="","",CAMPAIGNS!E24))</f>
        <v/>
      </c>
      <c r="J104" s="41">
        <f>IF(CAMPAIGNS!$B24="","",IF(CAMPAIGNS!J24="","",CAMPAIGNS!J24))</f>
        <v>0</v>
      </c>
      <c r="K104" s="41" t="str">
        <f>IF(CAMPAIGNS!$B24="","",IF(CAMPAIGNS!H24="","",CAMPAIGNS!H24))</f>
        <v/>
      </c>
      <c r="L104" s="35" t="str">
        <f>IF(CAMPAIGNS!$B24="","",IF(CAMPAIGNS!O24="","",CAMPAIGNS!O24))</f>
        <v/>
      </c>
      <c r="M104" s="32" t="n"/>
    </row>
    <row r="105">
      <c r="B105" s="40" t="str">
        <f>IF(CAMPAIGNS!$B25="","",IF(CAMPAIGNS!B25="","",CAMPAIGNS!B25))</f>
        <v>Vestrics - SEO &amp; Social Media</v>
      </c>
      <c r="C105" s="32" t="n"/>
      <c r="D105" s="32" t="n"/>
      <c r="E105" s="32" t="n"/>
      <c r="F105" s="31" t="str">
        <f>IF(CAMPAIGNS!$B25="","",IF(CAMPAIGNS!A25="","",CAMPAIGNS!A25))</f>
        <v>Vestrics</v>
      </c>
      <c r="G105" s="32" t="n"/>
      <c r="H105" s="35" t="str">
        <f>IF(CAMPAIGNS!$B25="","",IF(CAMPAIGNS!D25="","",CAMPAIGNS!D25))</f>
        <v>Ayush Jain</v>
      </c>
      <c r="I105" s="35" t="str">
        <f>IF(CAMPAIGNS!$B25="","",IF(CAMPAIGNS!E25="","",CAMPAIGNS!E25))</f>
        <v/>
      </c>
      <c r="J105" s="41">
        <f>IF(CAMPAIGNS!$B25="","",IF(CAMPAIGNS!J25="","",CAMPAIGNS!J25))</f>
        <v>0</v>
      </c>
      <c r="K105" s="41" t="str">
        <f>IF(CAMPAIGNS!$B25="","",IF(CAMPAIGNS!H25="","",CAMPAIGNS!H25))</f>
        <v/>
      </c>
      <c r="L105" s="35" t="str">
        <f>IF(CAMPAIGNS!$B25="","",IF(CAMPAIGNS!O25="","",CAMPAIGNS!O25))</f>
        <v/>
      </c>
      <c r="M105" s="32" t="n"/>
    </row>
    <row r="106">
      <c r="B106" s="40" t="str">
        <f>IF(CAMPAIGNS!$B26="","",IF(CAMPAIGNS!B26="","",CAMPAIGNS!B26))</f>
        <v>Magnasoft - SEO &amp; Social Media</v>
      </c>
      <c r="C106" s="32" t="n"/>
      <c r="D106" s="32" t="n"/>
      <c r="E106" s="32" t="n"/>
      <c r="F106" s="31" t="str">
        <f>IF(CAMPAIGNS!$B26="","",IF(CAMPAIGNS!A26="","",CAMPAIGNS!A26))</f>
        <v>Magnasoft</v>
      </c>
      <c r="G106" s="32" t="n"/>
      <c r="H106" s="35" t="str">
        <f>IF(CAMPAIGNS!$B26="","",IF(CAMPAIGNS!D26="","",CAMPAIGNS!D26))</f>
        <v>Ayush Jain</v>
      </c>
      <c r="I106" s="35" t="str">
        <f>IF(CAMPAIGNS!$B26="","",IF(CAMPAIGNS!E26="","",CAMPAIGNS!E26))</f>
        <v/>
      </c>
      <c r="J106" s="41">
        <f>IF(CAMPAIGNS!$B26="","",IF(CAMPAIGNS!J26="","",CAMPAIGNS!J26))</f>
        <v>0</v>
      </c>
      <c r="K106" s="41" t="str">
        <f>IF(CAMPAIGNS!$B26="","",IF(CAMPAIGNS!H26="","",CAMPAIGNS!H26))</f>
        <v/>
      </c>
      <c r="L106" s="35" t="str">
        <f>IF(CAMPAIGNS!$B26="","",IF(CAMPAIGNS!O26="","",CAMPAIGNS!O26))</f>
        <v/>
      </c>
      <c r="M106" s="32" t="n"/>
    </row>
    <row r="107">
      <c r="B107" s="40" t="str">
        <f>IF(CAMPAIGNS!$B27="","",IF(CAMPAIGNS!B27="","",CAMPAIGNS!B27))</f>
        <v>Eternelle - SEO &amp; Blogs</v>
      </c>
      <c r="C107" s="32" t="n"/>
      <c r="D107" s="32" t="n"/>
      <c r="E107" s="32" t="n"/>
      <c r="F107" s="31" t="str">
        <f>IF(CAMPAIGNS!$B27="","",IF(CAMPAIGNS!A27="","",CAMPAIGNS!A27))</f>
        <v>Eternelle</v>
      </c>
      <c r="G107" s="32" t="n"/>
      <c r="H107" s="35" t="str">
        <f>IF(CAMPAIGNS!$B27="","",IF(CAMPAIGNS!D27="","",CAMPAIGNS!D27))</f>
        <v>Richi Bagla</v>
      </c>
      <c r="I107" s="35" t="str">
        <f>IF(CAMPAIGNS!$B27="","",IF(CAMPAIGNS!E27="","",CAMPAIGNS!E27))</f>
        <v/>
      </c>
      <c r="J107" s="41">
        <f>IF(CAMPAIGNS!$B27="","",IF(CAMPAIGNS!J27="","",CAMPAIGNS!J27))</f>
        <v>0</v>
      </c>
      <c r="K107" s="41" t="str">
        <f>IF(CAMPAIGNS!$B27="","",IF(CAMPAIGNS!H27="","",CAMPAIGNS!H27))</f>
        <v/>
      </c>
      <c r="L107" s="35" t="str">
        <f>IF(CAMPAIGNS!$B27="","",IF(CAMPAIGNS!O27="","",CAMPAIGNS!O27))</f>
        <v/>
      </c>
      <c r="M107" s="32" t="n"/>
    </row>
    <row r="108">
      <c r="B108" s="40" t="str">
        <f>IF(CAMPAIGNS!$B28="","",IF(CAMPAIGNS!B28="","",CAMPAIGNS!B28))</f>
        <v>Lenovo - Email Deployment</v>
      </c>
      <c r="C108" s="32" t="n"/>
      <c r="D108" s="32" t="n"/>
      <c r="E108" s="32" t="n"/>
      <c r="F108" s="31" t="str">
        <f>IF(CAMPAIGNS!$B28="","",IF(CAMPAIGNS!A28="","",CAMPAIGNS!A28))</f>
        <v>Lenovo</v>
      </c>
      <c r="G108" s="32" t="n"/>
      <c r="H108" s="35" t="str">
        <f>IF(CAMPAIGNS!$B28="","",IF(CAMPAIGNS!D28="","",CAMPAIGNS!D28))</f>
        <v/>
      </c>
      <c r="I108" s="35" t="str">
        <f>IF(CAMPAIGNS!$B28="","",IF(CAMPAIGNS!E28="","",CAMPAIGNS!E28))</f>
        <v/>
      </c>
      <c r="J108" s="41">
        <f>IF(CAMPAIGNS!$B28="","",IF(CAMPAIGNS!J28="","",CAMPAIGNS!J28))</f>
        <v>0</v>
      </c>
      <c r="K108" s="41" t="str">
        <f>IF(CAMPAIGNS!$B28="","",IF(CAMPAIGNS!H28="","",CAMPAIGNS!H28))</f>
        <v/>
      </c>
      <c r="L108" s="35" t="str">
        <f>IF(CAMPAIGNS!$B28="","",IF(CAMPAIGNS!O28="","",CAMPAIGNS!O28))</f>
        <v/>
      </c>
      <c r="M108" s="32" t="n"/>
    </row>
    <row r="109">
      <c r="B109" s="40" t="str">
        <f>IF(CAMPAIGNS!$B29="","",IF(CAMPAIGNS!B29="","",CAMPAIGNS!B29))</f>
        <v>Sonalika Tractors - Meta Automation</v>
      </c>
      <c r="C109" s="32" t="n"/>
      <c r="D109" s="32" t="n"/>
      <c r="E109" s="32" t="n"/>
      <c r="F109" s="31" t="str">
        <f>IF(CAMPAIGNS!$B29="","",IF(CAMPAIGNS!A29="","",CAMPAIGNS!A29))</f>
        <v>Sonalika Tractors</v>
      </c>
      <c r="G109" s="32" t="n"/>
      <c r="H109" s="35" t="str">
        <f>IF(CAMPAIGNS!$B29="","",IF(CAMPAIGNS!D29="","",CAMPAIGNS!D29))</f>
        <v/>
      </c>
      <c r="I109" s="35" t="str">
        <f>IF(CAMPAIGNS!$B29="","",IF(CAMPAIGNS!E29="","",CAMPAIGNS!E29))</f>
        <v/>
      </c>
      <c r="J109" s="41">
        <f>IF(CAMPAIGNS!$B29="","",IF(CAMPAIGNS!J29="","",CAMPAIGNS!J29))</f>
        <v>0</v>
      </c>
      <c r="K109" s="41" t="str">
        <f>IF(CAMPAIGNS!$B29="","",IF(CAMPAIGNS!H29="","",CAMPAIGNS!H29))</f>
        <v/>
      </c>
      <c r="L109" s="35" t="str">
        <f>IF(CAMPAIGNS!$B29="","",IF(CAMPAIGNS!O29="","",CAMPAIGNS!O29))</f>
        <v/>
      </c>
      <c r="M109" s="32" t="n"/>
    </row>
    <row r="110">
      <c r="B110" s="40" t="str">
        <f>IF(CAMPAIGNS!$B30="","",IF(CAMPAIGNS!B30="","",CAMPAIGNS!B30))</f>
        <v>Tata MECCA Campaign</v>
      </c>
      <c r="C110" s="32" t="n"/>
      <c r="D110" s="32" t="n"/>
      <c r="E110" s="32" t="n"/>
      <c r="F110" s="31" t="str">
        <f>IF(CAMPAIGNS!$B30="","",IF(CAMPAIGNS!A30="","",CAMPAIGNS!A30))</f>
        <v>Tata Communications MECCA</v>
      </c>
      <c r="G110" s="32" t="n"/>
      <c r="H110" s="35" t="str">
        <f>IF(CAMPAIGNS!$B30="","",IF(CAMPAIGNS!D30="","",CAMPAIGNS!D30))</f>
        <v/>
      </c>
      <c r="I110" s="35" t="str">
        <f>IF(CAMPAIGNS!$B30="","",IF(CAMPAIGNS!E30="","",CAMPAIGNS!E30))</f>
        <v/>
      </c>
      <c r="J110" s="41">
        <f>IF(CAMPAIGNS!$B30="","",IF(CAMPAIGNS!J30="","",CAMPAIGNS!J30))</f>
        <v>0</v>
      </c>
      <c r="K110" s="41" t="str">
        <f>IF(CAMPAIGNS!$B30="","",IF(CAMPAIGNS!H30="","",CAMPAIGNS!H30))</f>
        <v/>
      </c>
      <c r="L110" s="35" t="str">
        <f>IF(CAMPAIGNS!$B30="","",IF(CAMPAIGNS!O30="","",CAMPAIGNS!O30))</f>
        <v/>
      </c>
      <c r="M110" s="32" t="n"/>
    </row>
    <row r="111">
      <c r="B111" s="40" t="str">
        <f>IF(CAMPAIGNS!$B31="","",IF(CAMPAIGNS!B31="","",CAMPAIGNS!B31))</f>
        <v/>
      </c>
      <c r="C111" s="32" t="n"/>
      <c r="D111" s="32" t="n"/>
      <c r="E111" s="32" t="n"/>
      <c r="F111" s="31" t="str">
        <f>IF(CAMPAIGNS!$B31="","",IF(CAMPAIGNS!A31="","",CAMPAIGNS!A31))</f>
        <v/>
      </c>
      <c r="G111" s="32" t="n"/>
      <c r="H111" s="35" t="str">
        <f>IF(CAMPAIGNS!$B31="","",IF(CAMPAIGNS!D31="","",CAMPAIGNS!D31))</f>
        <v/>
      </c>
      <c r="I111" s="35" t="str">
        <f>IF(CAMPAIGNS!$B31="","",IF(CAMPAIGNS!E31="","",CAMPAIGNS!E31))</f>
        <v/>
      </c>
      <c r="J111" s="41" t="str">
        <f>IF(CAMPAIGNS!$B31="","",IF(CAMPAIGNS!J31="","",CAMPAIGNS!J31))</f>
        <v/>
      </c>
      <c r="K111" s="41" t="str">
        <f>IF(CAMPAIGNS!$B31="","",IF(CAMPAIGNS!H31="","",CAMPAIGNS!H31))</f>
        <v/>
      </c>
      <c r="L111" s="35" t="str">
        <f>IF(CAMPAIGNS!$B31="","",IF(CAMPAIGNS!O31="","",CAMPAIGNS!O31))</f>
        <v/>
      </c>
      <c r="M111" s="32" t="n"/>
    </row>
    <row r="112">
      <c r="B112" s="40" t="str">
        <f>IF(CAMPAIGNS!$B32="","",IF(CAMPAIGNS!B32="","",CAMPAIGNS!B32))</f>
        <v/>
      </c>
      <c r="C112" s="32" t="n"/>
      <c r="D112" s="32" t="n"/>
      <c r="E112" s="32" t="n"/>
      <c r="F112" s="31" t="str">
        <f>IF(CAMPAIGNS!$B32="","",IF(CAMPAIGNS!A32="","",CAMPAIGNS!A32))</f>
        <v/>
      </c>
      <c r="G112" s="32" t="n"/>
      <c r="H112" s="35" t="str">
        <f>IF(CAMPAIGNS!$B32="","",IF(CAMPAIGNS!D32="","",CAMPAIGNS!D32))</f>
        <v/>
      </c>
      <c r="I112" s="35" t="str">
        <f>IF(CAMPAIGNS!$B32="","",IF(CAMPAIGNS!E32="","",CAMPAIGNS!E32))</f>
        <v/>
      </c>
      <c r="J112" s="41" t="str">
        <f>IF(CAMPAIGNS!$B32="","",IF(CAMPAIGNS!J32="","",CAMPAIGNS!J32))</f>
        <v/>
      </c>
      <c r="K112" s="41" t="str">
        <f>IF(CAMPAIGNS!$B32="","",IF(CAMPAIGNS!H32="","",CAMPAIGNS!H32))</f>
        <v/>
      </c>
      <c r="L112" s="35" t="str">
        <f>IF(CAMPAIGNS!$B32="","",IF(CAMPAIGNS!O32="","",CAMPAIGNS!O32))</f>
        <v/>
      </c>
      <c r="M112" s="32" t="n"/>
    </row>
    <row r="113">
      <c r="B113" s="40" t="str">
        <f>IF(CAMPAIGNS!$B33="","",IF(CAMPAIGNS!B33="","",CAMPAIGNS!B33))</f>
        <v/>
      </c>
      <c r="C113" s="32" t="n"/>
      <c r="D113" s="32" t="n"/>
      <c r="E113" s="32" t="n"/>
      <c r="F113" s="31" t="str">
        <f>IF(CAMPAIGNS!$B33="","",IF(CAMPAIGNS!A33="","",CAMPAIGNS!A33))</f>
        <v/>
      </c>
      <c r="G113" s="32" t="n"/>
      <c r="H113" s="35" t="str">
        <f>IF(CAMPAIGNS!$B33="","",IF(CAMPAIGNS!D33="","",CAMPAIGNS!D33))</f>
        <v/>
      </c>
      <c r="I113" s="35" t="str">
        <f>IF(CAMPAIGNS!$B33="","",IF(CAMPAIGNS!E33="","",CAMPAIGNS!E33))</f>
        <v/>
      </c>
      <c r="J113" s="41" t="str">
        <f>IF(CAMPAIGNS!$B33="","",IF(CAMPAIGNS!J33="","",CAMPAIGNS!J33))</f>
        <v/>
      </c>
      <c r="K113" s="41" t="str">
        <f>IF(CAMPAIGNS!$B33="","",IF(CAMPAIGNS!H33="","",CAMPAIGNS!H33))</f>
        <v/>
      </c>
      <c r="L113" s="35" t="str">
        <f>IF(CAMPAIGNS!$B33="","",IF(CAMPAIGNS!O33="","",CAMPAIGNS!O33))</f>
        <v/>
      </c>
      <c r="M113" s="32" t="n"/>
    </row>
    <row r="114">
      <c r="B114" s="40" t="str">
        <f>IF(CAMPAIGNS!$B34="","",IF(CAMPAIGNS!B34="","",CAMPAIGNS!B34))</f>
        <v/>
      </c>
      <c r="C114" s="32" t="n"/>
      <c r="D114" s="32" t="n"/>
      <c r="E114" s="32" t="n"/>
      <c r="F114" s="31" t="str">
        <f>IF(CAMPAIGNS!$B34="","",IF(CAMPAIGNS!A34="","",CAMPAIGNS!A34))</f>
        <v/>
      </c>
      <c r="G114" s="32" t="n"/>
      <c r="H114" s="35" t="str">
        <f>IF(CAMPAIGNS!$B34="","",IF(CAMPAIGNS!D34="","",CAMPAIGNS!D34))</f>
        <v/>
      </c>
      <c r="I114" s="35" t="str">
        <f>IF(CAMPAIGNS!$B34="","",IF(CAMPAIGNS!E34="","",CAMPAIGNS!E34))</f>
        <v/>
      </c>
      <c r="J114" s="41" t="str">
        <f>IF(CAMPAIGNS!$B34="","",IF(CAMPAIGNS!J34="","",CAMPAIGNS!J34))</f>
        <v/>
      </c>
      <c r="K114" s="41" t="str">
        <f>IF(CAMPAIGNS!$B34="","",IF(CAMPAIGNS!H34="","",CAMPAIGNS!H34))</f>
        <v/>
      </c>
      <c r="L114" s="35" t="str">
        <f>IF(CAMPAIGNS!$B34="","",IF(CAMPAIGNS!O34="","",CAMPAIGNS!O34))</f>
        <v/>
      </c>
      <c r="M114" s="32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220">
    <mergeCell ref="B2:M2"/>
    <mergeCell ref="D76:F76"/>
    <mergeCell ref="L91:M91"/>
    <mergeCell ref="F16:G16"/>
    <mergeCell ref="F103:G103"/>
    <mergeCell ref="F108:G108"/>
    <mergeCell ref="B31:C31"/>
    <mergeCell ref="D75:F75"/>
    <mergeCell ref="F84:G84"/>
    <mergeCell ref="B53:M53"/>
    <mergeCell ref="H9:I9"/>
    <mergeCell ref="J18:M18"/>
    <mergeCell ref="J9:K9"/>
    <mergeCell ref="B12:C12"/>
    <mergeCell ref="B77:C77"/>
    <mergeCell ref="B110:E110"/>
    <mergeCell ref="L12:M12"/>
    <mergeCell ref="F15:G15"/>
    <mergeCell ref="B113:E113"/>
    <mergeCell ref="F86:G86"/>
    <mergeCell ref="B91:E91"/>
    <mergeCell ref="B100:E100"/>
    <mergeCell ref="B109:E109"/>
    <mergeCell ref="J19:M19"/>
    <mergeCell ref="B22:E22"/>
    <mergeCell ref="B93:E93"/>
    <mergeCell ref="B69:C69"/>
    <mergeCell ref="L102:M102"/>
    <mergeCell ref="B38:C38"/>
    <mergeCell ref="B102:E102"/>
    <mergeCell ref="B78:C78"/>
    <mergeCell ref="L109:M109"/>
    <mergeCell ref="H5:J5"/>
    <mergeCell ref="B4:D4"/>
    <mergeCell ref="B21:E21"/>
    <mergeCell ref="F23:G23"/>
    <mergeCell ref="B86:E86"/>
    <mergeCell ref="B40:C40"/>
    <mergeCell ref="F96:G96"/>
    <mergeCell ref="B49:C49"/>
    <mergeCell ref="B101:E101"/>
    <mergeCell ref="F105:G105"/>
    <mergeCell ref="B23:E23"/>
    <mergeCell ref="B7:M7"/>
    <mergeCell ref="B33:C33"/>
    <mergeCell ref="D80:F80"/>
    <mergeCell ref="B51:C51"/>
    <mergeCell ref="H15:I15"/>
    <mergeCell ref="F98:G98"/>
    <mergeCell ref="F107:G107"/>
    <mergeCell ref="B112:E112"/>
    <mergeCell ref="H23:I23"/>
    <mergeCell ref="B32:C32"/>
    <mergeCell ref="B87:E87"/>
    <mergeCell ref="B26:C26"/>
    <mergeCell ref="B41:C41"/>
    <mergeCell ref="B35:C35"/>
    <mergeCell ref="F88:G88"/>
    <mergeCell ref="L110:M110"/>
    <mergeCell ref="B16:C16"/>
    <mergeCell ref="L98:M98"/>
    <mergeCell ref="L16:M16"/>
    <mergeCell ref="L107:M107"/>
    <mergeCell ref="F19:G19"/>
    <mergeCell ref="F99:G99"/>
    <mergeCell ref="B104:E104"/>
    <mergeCell ref="B27:C27"/>
    <mergeCell ref="B114:E114"/>
    <mergeCell ref="J23:M23"/>
    <mergeCell ref="L106:M106"/>
    <mergeCell ref="B11:C11"/>
    <mergeCell ref="B106:E106"/>
    <mergeCell ref="D11:E11"/>
    <mergeCell ref="L93:M93"/>
    <mergeCell ref="F20:G20"/>
    <mergeCell ref="F18:G18"/>
    <mergeCell ref="F85:G85"/>
    <mergeCell ref="B90:E90"/>
    <mergeCell ref="D74:F74"/>
    <mergeCell ref="F94:G94"/>
    <mergeCell ref="B68:M68"/>
    <mergeCell ref="B83:M83"/>
    <mergeCell ref="L92:M92"/>
    <mergeCell ref="H11:I11"/>
    <mergeCell ref="B18:E18"/>
    <mergeCell ref="B5:D5"/>
    <mergeCell ref="J11:K11"/>
    <mergeCell ref="B29:C29"/>
    <mergeCell ref="F109:G109"/>
    <mergeCell ref="B37:C37"/>
    <mergeCell ref="L85:M85"/>
    <mergeCell ref="L94:M94"/>
    <mergeCell ref="H19:I19"/>
    <mergeCell ref="F111:G111"/>
    <mergeCell ref="D69:F69"/>
    <mergeCell ref="D9:E9"/>
    <mergeCell ref="L84:M84"/>
    <mergeCell ref="F9:G9"/>
    <mergeCell ref="H12:I12"/>
    <mergeCell ref="J12:K12"/>
    <mergeCell ref="B15:C15"/>
    <mergeCell ref="D15:E15"/>
    <mergeCell ref="B80:C80"/>
    <mergeCell ref="H4:J4"/>
    <mergeCell ref="J20:M20"/>
    <mergeCell ref="L111:M111"/>
    <mergeCell ref="B103:E103"/>
    <mergeCell ref="B79:C79"/>
    <mergeCell ref="B84:E84"/>
    <mergeCell ref="J22:M22"/>
    <mergeCell ref="B54:C54"/>
    <mergeCell ref="F87:G87"/>
    <mergeCell ref="B72:C72"/>
    <mergeCell ref="B81:C81"/>
    <mergeCell ref="L103:M103"/>
    <mergeCell ref="L112:M112"/>
    <mergeCell ref="J21:M21"/>
    <mergeCell ref="B95:E95"/>
    <mergeCell ref="F89:G89"/>
    <mergeCell ref="B71:C71"/>
    <mergeCell ref="D78:F78"/>
    <mergeCell ref="B89:E89"/>
    <mergeCell ref="B43:C43"/>
    <mergeCell ref="F21:G21"/>
    <mergeCell ref="H21:I21"/>
    <mergeCell ref="D71:F71"/>
    <mergeCell ref="B97:E97"/>
    <mergeCell ref="B42:C42"/>
    <mergeCell ref="F114:G114"/>
    <mergeCell ref="L89:M89"/>
    <mergeCell ref="L8:M8"/>
    <mergeCell ref="F101:G101"/>
    <mergeCell ref="F110:G110"/>
    <mergeCell ref="D73:F73"/>
    <mergeCell ref="F8:G8"/>
    <mergeCell ref="L88:M88"/>
    <mergeCell ref="F91:G91"/>
    <mergeCell ref="B44:C44"/>
    <mergeCell ref="F100:G100"/>
    <mergeCell ref="B105:E105"/>
    <mergeCell ref="H16:I16"/>
    <mergeCell ref="L114:M114"/>
    <mergeCell ref="J16:K16"/>
    <mergeCell ref="B34:C34"/>
    <mergeCell ref="B28:C28"/>
    <mergeCell ref="F22:G22"/>
    <mergeCell ref="F93:G93"/>
    <mergeCell ref="H22:I22"/>
    <mergeCell ref="B9:C9"/>
    <mergeCell ref="F102:G102"/>
    <mergeCell ref="B107:E107"/>
    <mergeCell ref="L113:M113"/>
    <mergeCell ref="L9:M9"/>
    <mergeCell ref="D12:E12"/>
    <mergeCell ref="L100:M100"/>
    <mergeCell ref="B30:C30"/>
    <mergeCell ref="F92:G92"/>
    <mergeCell ref="B76:C76"/>
    <mergeCell ref="B45:C45"/>
    <mergeCell ref="L11:M11"/>
    <mergeCell ref="E4:G4"/>
    <mergeCell ref="B19:E19"/>
    <mergeCell ref="D77:F77"/>
    <mergeCell ref="B99:E99"/>
    <mergeCell ref="B75:C75"/>
    <mergeCell ref="L108:M108"/>
    <mergeCell ref="L86:M86"/>
    <mergeCell ref="B108:E108"/>
    <mergeCell ref="F11:G11"/>
    <mergeCell ref="B47:C47"/>
    <mergeCell ref="L95:M95"/>
    <mergeCell ref="H20:I20"/>
    <mergeCell ref="F112:G112"/>
    <mergeCell ref="B92:E92"/>
    <mergeCell ref="L101:M101"/>
    <mergeCell ref="B46:C46"/>
    <mergeCell ref="B14:M14"/>
    <mergeCell ref="D70:F70"/>
    <mergeCell ref="B1:M1"/>
    <mergeCell ref="B20:E20"/>
    <mergeCell ref="L97:M97"/>
    <mergeCell ref="B85:E85"/>
    <mergeCell ref="B39:C39"/>
    <mergeCell ref="D72:F72"/>
    <mergeCell ref="B70:C70"/>
    <mergeCell ref="B94:E94"/>
    <mergeCell ref="F12:G12"/>
    <mergeCell ref="B48:C48"/>
    <mergeCell ref="L87:M87"/>
    <mergeCell ref="F95:G95"/>
    <mergeCell ref="F104:G104"/>
    <mergeCell ref="J15:K15"/>
    <mergeCell ref="F113:G113"/>
    <mergeCell ref="L15:M15"/>
    <mergeCell ref="B8:C8"/>
    <mergeCell ref="F97:G97"/>
    <mergeCell ref="B73:C73"/>
    <mergeCell ref="F106:G106"/>
    <mergeCell ref="D16:E16"/>
    <mergeCell ref="L104:M104"/>
    <mergeCell ref="B96:E96"/>
    <mergeCell ref="F90:G90"/>
    <mergeCell ref="D79:F79"/>
    <mergeCell ref="B111:E111"/>
    <mergeCell ref="B98:E98"/>
    <mergeCell ref="D8:E8"/>
    <mergeCell ref="B74:C74"/>
    <mergeCell ref="D81:F81"/>
    <mergeCell ref="L96:M96"/>
    <mergeCell ref="L90:M90"/>
    <mergeCell ref="B25:M25"/>
    <mergeCell ref="L105:M105"/>
    <mergeCell ref="L99:M99"/>
    <mergeCell ref="E5:G5"/>
    <mergeCell ref="B88:E88"/>
    <mergeCell ref="H18:I18"/>
    <mergeCell ref="B36:C36"/>
    <mergeCell ref="B50:C50"/>
    <mergeCell ref="H8:I8"/>
    <mergeCell ref="J8:K8"/>
  </mergeCells>
  <conditionalFormatting sqref="D16">
    <cfRule type="cellIs" priority="1" operator="greaterThan" dxfId="0">
      <formula>0</formula>
    </cfRule>
  </conditionalFormatting>
  <conditionalFormatting sqref="F16">
    <cfRule type="cellIs" priority="2" operator="greaterThan" dxfId="0">
      <formula>0</formula>
    </cfRule>
  </conditionalFormatting>
  <conditionalFormatting sqref="H16">
    <cfRule type="cellIs" priority="3" operator="greaterThan" dxfId="0">
      <formula>0</formula>
    </cfRule>
    <cfRule type="cellIs" priority="4" operator="greaterThan" dxfId="1">
      <formula>0</formula>
    </cfRule>
  </conditionalFormatting>
  <conditionalFormatting sqref="B27:L51">
    <cfRule type="expression" priority="5" dxfId="2">
      <formula>ISNUMBER(SEARCH("Tata",$B27))</formula>
    </cfRule>
  </conditionalFormatting>
  <conditionalFormatting sqref="L27:L51">
    <cfRule type="cellIs" priority="6" operator="greaterThan" dxfId="3">
      <formula>0</formula>
    </cfRule>
  </conditionalFormatting>
  <conditionalFormatting sqref="K70:K81">
    <cfRule type="cellIs" priority="7" operator="greaterThan" dxfId="3">
      <formula>0</formula>
    </cfRule>
  </conditionalFormatting>
  <conditionalFormatting sqref="L85:L114">
    <cfRule type="expression" priority="8" dxfId="4">
      <formula>$L85="Behind target"</formula>
    </cfRule>
    <cfRule type="expression" priority="9" dxfId="4">
      <formula>$L85="Update needed"</formula>
    </cfRule>
    <cfRule type="expression" priority="10" dxfId="3">
      <formula>$L85="No stats yet"</formula>
    </cfRule>
    <cfRule type="expression" priority="11" dxfId="5">
      <formula>$L85="OK"</formula>
    </cfRule>
  </conditionalFormatting>
  <dataValidations count="3">
    <dataValidation sqref="B5" showDropDown="0" showInputMessage="0" showErrorMessage="1" allowBlank="1" errorTitle="Pick from list" error="Please choose a value from the dropdown (lists are maintained in MASTER DATA / CLIENT MASTER / CAMPAIGN MASTER)." type="list" errorStyle="stop">
      <formula1>=lst_FMonth</formula1>
    </dataValidation>
    <dataValidation sqref="E5" showDropDown="0" showInputMessage="0" showErrorMessage="1" allowBlank="1" errorTitle="Pick from list" error="Please choose a value from the dropdown (lists are maintained in MASTER DATA / CLIENT MASTER / CAMPAIGN MASTER)." type="list" errorStyle="stop">
      <formula1>=lst_FClient</formula1>
    </dataValidation>
    <dataValidation sqref="H5" showDropDown="0" showInputMessage="0" showErrorMessage="1" allowBlank="1" errorTitle="Invalid date" error="Enter a valid date, e.g. 05-Oct-2026." type="date" operator="greaterThan">
      <formula1>36526</formula1>
    </dataValidation>
  </dataValidations>
  <pageMargins left="0.75" right="0.75" top="1" bottom="1" header="0.5" footer="0.5"/>
  <pageSetup orientation="portrait" fitToHeight="0" fitToWidth="1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tabColor rgb="002F5597"/>
    <outlinePr summaryBelow="1" summaryRight="1"/>
    <pageSetUpPr fitToPage="1"/>
  </sheetPr>
  <dimension ref="A1:T504"/>
  <sheetViews>
    <sheetView showGridLines="0" tabSelected="0" zoomScale="90"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22" customWidth="1" min="2" max="2"/>
    <col width="32" customWidth="1" min="3" max="3"/>
    <col width="18" customWidth="1" min="4" max="4"/>
    <col width="16" customWidth="1" min="5" max="5"/>
    <col width="10" customWidth="1" min="6" max="6"/>
    <col width="9" customWidth="1" min="7" max="7"/>
    <col width="9" customWidth="1" min="8" max="8"/>
    <col width="9" customWidth="1" min="9" max="9"/>
    <col width="10" customWidth="1" min="10" max="10"/>
    <col width="11" customWidth="1" min="11" max="11"/>
    <col width="9" customWidth="1" min="12" max="12"/>
    <col width="9" customWidth="1" min="13" max="13"/>
    <col width="9" customWidth="1" min="14" max="14"/>
    <col width="12" customWidth="1" min="15" max="15"/>
    <col width="34" customWidth="1" min="16" max="16"/>
    <col width="10" customWidth="1" min="17" max="17"/>
    <col width="10" customWidth="1" min="18" max="18"/>
    <col width="12" customWidth="1" min="19" max="19"/>
    <col hidden="1" outlineLevel="1" width="9" customWidth="1" min="20" max="20"/>
  </cols>
  <sheetData>
    <row r="1" ht="30" customHeight="1">
      <c r="A1" s="42" t="inlineStr">
        <is>
          <t>UPDATE STATS - enter your numbers here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</row>
    <row r="2">
      <c r="A2" s="5" t="inlineStr">
        <is>
          <t>BLUE cells = team enters data   |   GREY cells = automatic formulas (do not edit)   |   One row per update (daily or weekly). Fill only what applies. Enter numbers for THAT period, not running totals.</t>
        </is>
      </c>
    </row>
    <row r="3">
      <c r="A3" s="43" t="inlineStr">
        <is>
          <t>Example: 05-Oct-26 | SAP | SAP Viksit Bharat | Email | Surbhi Pandey | 5000 | 900 | 120 | 20 | 0 | 2 | 25 | 6 | 1 ...</t>
        </is>
      </c>
    </row>
    <row r="4" ht="34" customHeight="1">
      <c r="A4" s="44" t="inlineStr">
        <is>
          <t>Date</t>
        </is>
      </c>
      <c r="B4" s="44" t="inlineStr">
        <is>
          <t>Client</t>
        </is>
      </c>
      <c r="C4" s="44" t="inlineStr">
        <is>
          <t>Campaign</t>
        </is>
      </c>
      <c r="D4" s="44" t="inlineStr">
        <is>
          <t>Channel</t>
        </is>
      </c>
      <c r="E4" s="44" t="inlineStr">
        <is>
          <t>Your Name</t>
        </is>
      </c>
      <c r="F4" s="44" t="inlineStr">
        <is>
          <t>Emails Sent</t>
        </is>
      </c>
      <c r="G4" s="44" t="inlineStr">
        <is>
          <t>Opens</t>
        </is>
      </c>
      <c r="H4" s="44" t="inlineStr">
        <is>
          <t>Clicks</t>
        </is>
      </c>
      <c r="I4" s="44" t="inlineStr">
        <is>
          <t>Replies</t>
        </is>
      </c>
      <c r="J4" s="44" t="inlineStr">
        <is>
          <t>Ad Spend</t>
        </is>
      </c>
      <c r="K4" s="44" t="inlineStr">
        <is>
          <t>Handraisers</t>
        </is>
      </c>
      <c r="L4" s="44" t="inlineStr">
        <is>
          <t>Leads</t>
        </is>
      </c>
      <c r="M4" s="44" t="inlineStr">
        <is>
          <t>MQLs</t>
        </is>
      </c>
      <c r="N4" s="44" t="inlineStr">
        <is>
          <t>SQLs</t>
        </is>
      </c>
      <c r="O4" s="44" t="inlineStr">
        <is>
          <t>Opportunities</t>
        </is>
      </c>
      <c r="P4" s="44" t="inlineStr">
        <is>
          <t>Notes</t>
        </is>
      </c>
      <c r="Q4" s="45" t="inlineStr">
        <is>
          <t>Open Rate</t>
        </is>
      </c>
      <c r="R4" s="45" t="inlineStr">
        <is>
          <t>Click Rate</t>
        </is>
      </c>
      <c r="S4" s="45" t="inlineStr">
        <is>
          <t>Cost per Lead</t>
        </is>
      </c>
      <c r="T4" s="46" t="inlineStr">
        <is>
          <t>Month</t>
        </is>
      </c>
    </row>
    <row r="5">
      <c r="A5" s="47" t="n"/>
      <c r="B5" s="48" t="n"/>
      <c r="C5" s="48" t="n"/>
      <c r="D5" s="48" t="n"/>
      <c r="E5" s="48" t="n"/>
      <c r="F5" s="49" t="n"/>
      <c r="G5" s="49" t="n"/>
      <c r="H5" s="49" t="n"/>
      <c r="I5" s="49" t="n"/>
      <c r="J5" s="49" t="n"/>
      <c r="K5" s="49" t="n"/>
      <c r="L5" s="49" t="n"/>
      <c r="M5" s="49" t="n"/>
      <c r="N5" s="49" t="n"/>
      <c r="O5" s="49" t="n"/>
      <c r="P5" s="50" t="n"/>
      <c r="Q5" s="51" t="str">
        <f>IF(AND(ISNUMBER($F5),$F5&gt;0,ISNUMBER($G5)),$G5/$F5,"")</f>
        <v/>
      </c>
      <c r="R5" s="51" t="str">
        <f>IF(AND(ISNUMBER($F5),$F5&gt;0,ISNUMBER($H5)),$H5/$F5,"")</f>
        <v/>
      </c>
      <c r="S5" s="52" t="str">
        <f>IF(AND(ISNUMBER($J5),ISNUMBER($L5)),IF($L5&gt;0,$J5/$L5,""),"")</f>
        <v/>
      </c>
      <c r="T5" s="53" t="str">
        <f>IF(ISNUMBER($A5),YEAR($A5)&amp;"-"&amp;TEXT(MONTH($A5),"00"),"")</f>
        <v/>
      </c>
    </row>
    <row r="6">
      <c r="A6" s="47" t="n"/>
      <c r="B6" s="48" t="n"/>
      <c r="C6" s="48" t="n"/>
      <c r="D6" s="48" t="n"/>
      <c r="E6" s="48" t="n"/>
      <c r="F6" s="49" t="n"/>
      <c r="G6" s="49" t="n"/>
      <c r="H6" s="49" t="n"/>
      <c r="I6" s="49" t="n"/>
      <c r="J6" s="49" t="n"/>
      <c r="K6" s="49" t="n"/>
      <c r="L6" s="49" t="n"/>
      <c r="M6" s="49" t="n"/>
      <c r="N6" s="49" t="n"/>
      <c r="O6" s="49" t="n"/>
      <c r="P6" s="50" t="n"/>
      <c r="Q6" s="51" t="str">
        <f>IF(AND(ISNUMBER($F6),$F6&gt;0,ISNUMBER($G6)),$G6/$F6,"")</f>
        <v/>
      </c>
      <c r="R6" s="51" t="str">
        <f>IF(AND(ISNUMBER($F6),$F6&gt;0,ISNUMBER($H6)),$H6/$F6,"")</f>
        <v/>
      </c>
      <c r="S6" s="52" t="str">
        <f>IF(AND(ISNUMBER($J6),ISNUMBER($L6)),IF($L6&gt;0,$J6/$L6,""),"")</f>
        <v/>
      </c>
      <c r="T6" s="53" t="str">
        <f>IF(ISNUMBER($A6),YEAR($A6)&amp;"-"&amp;TEXT(MONTH($A6),"00"),"")</f>
        <v/>
      </c>
    </row>
    <row r="7">
      <c r="A7" s="47" t="n"/>
      <c r="B7" s="48" t="n"/>
      <c r="C7" s="48" t="n"/>
      <c r="D7" s="48" t="n"/>
      <c r="E7" s="48" t="n"/>
      <c r="F7" s="49" t="n"/>
      <c r="G7" s="49" t="n"/>
      <c r="H7" s="49" t="n"/>
      <c r="I7" s="49" t="n"/>
      <c r="J7" s="49" t="n"/>
      <c r="K7" s="49" t="n"/>
      <c r="L7" s="49" t="n"/>
      <c r="M7" s="49" t="n"/>
      <c r="N7" s="49" t="n"/>
      <c r="O7" s="49" t="n"/>
      <c r="P7" s="50" t="n"/>
      <c r="Q7" s="51" t="str">
        <f>IF(AND(ISNUMBER($F7),$F7&gt;0,ISNUMBER($G7)),$G7/$F7,"")</f>
        <v/>
      </c>
      <c r="R7" s="51" t="str">
        <f>IF(AND(ISNUMBER($F7),$F7&gt;0,ISNUMBER($H7)),$H7/$F7,"")</f>
        <v/>
      </c>
      <c r="S7" s="52" t="str">
        <f>IF(AND(ISNUMBER($J7),ISNUMBER($L7)),IF($L7&gt;0,$J7/$L7,""),"")</f>
        <v/>
      </c>
      <c r="T7" s="53" t="str">
        <f>IF(ISNUMBER($A7),YEAR($A7)&amp;"-"&amp;TEXT(MONTH($A7),"00"),"")</f>
        <v/>
      </c>
    </row>
    <row r="8">
      <c r="A8" s="47" t="n"/>
      <c r="B8" s="48" t="n"/>
      <c r="C8" s="48" t="n"/>
      <c r="D8" s="48" t="n"/>
      <c r="E8" s="48" t="n"/>
      <c r="F8" s="49" t="n"/>
      <c r="G8" s="49" t="n"/>
      <c r="H8" s="49" t="n"/>
      <c r="I8" s="49" t="n"/>
      <c r="J8" s="49" t="n"/>
      <c r="K8" s="49" t="n"/>
      <c r="L8" s="49" t="n"/>
      <c r="M8" s="49" t="n"/>
      <c r="N8" s="49" t="n"/>
      <c r="O8" s="49" t="n"/>
      <c r="P8" s="50" t="n"/>
      <c r="Q8" s="51" t="str">
        <f>IF(AND(ISNUMBER($F8),$F8&gt;0,ISNUMBER($G8)),$G8/$F8,"")</f>
        <v/>
      </c>
      <c r="R8" s="51" t="str">
        <f>IF(AND(ISNUMBER($F8),$F8&gt;0,ISNUMBER($H8)),$H8/$F8,"")</f>
        <v/>
      </c>
      <c r="S8" s="52" t="str">
        <f>IF(AND(ISNUMBER($J8),ISNUMBER($L8)),IF($L8&gt;0,$J8/$L8,""),"")</f>
        <v/>
      </c>
      <c r="T8" s="53" t="str">
        <f>IF(ISNUMBER($A8),YEAR($A8)&amp;"-"&amp;TEXT(MONTH($A8),"00"),"")</f>
        <v/>
      </c>
    </row>
    <row r="9">
      <c r="A9" s="47" t="n"/>
      <c r="B9" s="48" t="n"/>
      <c r="C9" s="48" t="n"/>
      <c r="D9" s="48" t="n"/>
      <c r="E9" s="48" t="n"/>
      <c r="F9" s="49" t="n"/>
      <c r="G9" s="49" t="n"/>
      <c r="H9" s="49" t="n"/>
      <c r="I9" s="49" t="n"/>
      <c r="J9" s="49" t="n"/>
      <c r="K9" s="49" t="n"/>
      <c r="L9" s="49" t="n"/>
      <c r="M9" s="49" t="n"/>
      <c r="N9" s="49" t="n"/>
      <c r="O9" s="49" t="n"/>
      <c r="P9" s="50" t="n"/>
      <c r="Q9" s="51" t="str">
        <f>IF(AND(ISNUMBER($F9),$F9&gt;0,ISNUMBER($G9)),$G9/$F9,"")</f>
        <v/>
      </c>
      <c r="R9" s="51" t="str">
        <f>IF(AND(ISNUMBER($F9),$F9&gt;0,ISNUMBER($H9)),$H9/$F9,"")</f>
        <v/>
      </c>
      <c r="S9" s="52" t="str">
        <f>IF(AND(ISNUMBER($J9),ISNUMBER($L9)),IF($L9&gt;0,$J9/$L9,""),"")</f>
        <v/>
      </c>
      <c r="T9" s="53" t="str">
        <f>IF(ISNUMBER($A9),YEAR($A9)&amp;"-"&amp;TEXT(MONTH($A9),"00"),"")</f>
        <v/>
      </c>
    </row>
    <row r="10">
      <c r="A10" s="47" t="n"/>
      <c r="B10" s="48" t="n"/>
      <c r="C10" s="48" t="n"/>
      <c r="D10" s="48" t="n"/>
      <c r="E10" s="48" t="n"/>
      <c r="F10" s="49" t="n"/>
      <c r="G10" s="49" t="n"/>
      <c r="H10" s="49" t="n"/>
      <c r="I10" s="49" t="n"/>
      <c r="J10" s="49" t="n"/>
      <c r="K10" s="49" t="n"/>
      <c r="L10" s="49" t="n"/>
      <c r="M10" s="49" t="n"/>
      <c r="N10" s="49" t="n"/>
      <c r="O10" s="49" t="n"/>
      <c r="P10" s="50" t="n"/>
      <c r="Q10" s="51" t="str">
        <f>IF(AND(ISNUMBER($F10),$F10&gt;0,ISNUMBER($G10)),$G10/$F10,"")</f>
        <v/>
      </c>
      <c r="R10" s="51" t="str">
        <f>IF(AND(ISNUMBER($F10),$F10&gt;0,ISNUMBER($H10)),$H10/$F10,"")</f>
        <v/>
      </c>
      <c r="S10" s="52" t="str">
        <f>IF(AND(ISNUMBER($J10),ISNUMBER($L10)),IF($L10&gt;0,$J10/$L10,""),"")</f>
        <v/>
      </c>
      <c r="T10" s="53" t="str">
        <f>IF(ISNUMBER($A10),YEAR($A10)&amp;"-"&amp;TEXT(MONTH($A10),"00"),"")</f>
        <v/>
      </c>
    </row>
    <row r="11">
      <c r="A11" s="47" t="n"/>
      <c r="B11" s="48" t="n"/>
      <c r="C11" s="48" t="n"/>
      <c r="D11" s="48" t="n"/>
      <c r="E11" s="48" t="n"/>
      <c r="F11" s="49" t="n"/>
      <c r="G11" s="49" t="n"/>
      <c r="H11" s="49" t="n"/>
      <c r="I11" s="49" t="n"/>
      <c r="J11" s="49" t="n"/>
      <c r="K11" s="49" t="n"/>
      <c r="L11" s="49" t="n"/>
      <c r="M11" s="49" t="n"/>
      <c r="N11" s="49" t="n"/>
      <c r="O11" s="49" t="n"/>
      <c r="P11" s="50" t="n"/>
      <c r="Q11" s="51" t="str">
        <f>IF(AND(ISNUMBER($F11),$F11&gt;0,ISNUMBER($G11)),$G11/$F11,"")</f>
        <v/>
      </c>
      <c r="R11" s="51" t="str">
        <f>IF(AND(ISNUMBER($F11),$F11&gt;0,ISNUMBER($H11)),$H11/$F11,"")</f>
        <v/>
      </c>
      <c r="S11" s="52" t="str">
        <f>IF(AND(ISNUMBER($J11),ISNUMBER($L11)),IF($L11&gt;0,$J11/$L11,""),"")</f>
        <v/>
      </c>
      <c r="T11" s="53" t="str">
        <f>IF(ISNUMBER($A11),YEAR($A11)&amp;"-"&amp;TEXT(MONTH($A11),"00"),"")</f>
        <v/>
      </c>
    </row>
    <row r="12">
      <c r="A12" s="47" t="n"/>
      <c r="B12" s="48" t="n"/>
      <c r="C12" s="48" t="n"/>
      <c r="D12" s="48" t="n"/>
      <c r="E12" s="48" t="n"/>
      <c r="F12" s="49" t="n"/>
      <c r="G12" s="49" t="n"/>
      <c r="H12" s="49" t="n"/>
      <c r="I12" s="49" t="n"/>
      <c r="J12" s="49" t="n"/>
      <c r="K12" s="49" t="n"/>
      <c r="L12" s="49" t="n"/>
      <c r="M12" s="49" t="n"/>
      <c r="N12" s="49" t="n"/>
      <c r="O12" s="49" t="n"/>
      <c r="P12" s="50" t="n"/>
      <c r="Q12" s="51" t="str">
        <f>IF(AND(ISNUMBER($F12),$F12&gt;0,ISNUMBER($G12)),$G12/$F12,"")</f>
        <v/>
      </c>
      <c r="R12" s="51" t="str">
        <f>IF(AND(ISNUMBER($F12),$F12&gt;0,ISNUMBER($H12)),$H12/$F12,"")</f>
        <v/>
      </c>
      <c r="S12" s="52" t="str">
        <f>IF(AND(ISNUMBER($J12),ISNUMBER($L12)),IF($L12&gt;0,$J12/$L12,""),"")</f>
        <v/>
      </c>
      <c r="T12" s="53" t="str">
        <f>IF(ISNUMBER($A12),YEAR($A12)&amp;"-"&amp;TEXT(MONTH($A12),"00"),"")</f>
        <v/>
      </c>
    </row>
    <row r="13">
      <c r="A13" s="47" t="n"/>
      <c r="B13" s="48" t="n"/>
      <c r="C13" s="48" t="n"/>
      <c r="D13" s="48" t="n"/>
      <c r="E13" s="48" t="n"/>
      <c r="F13" s="49" t="n"/>
      <c r="G13" s="49" t="n"/>
      <c r="H13" s="49" t="n"/>
      <c r="I13" s="49" t="n"/>
      <c r="J13" s="49" t="n"/>
      <c r="K13" s="49" t="n"/>
      <c r="L13" s="49" t="n"/>
      <c r="M13" s="49" t="n"/>
      <c r="N13" s="49" t="n"/>
      <c r="O13" s="49" t="n"/>
      <c r="P13" s="50" t="n"/>
      <c r="Q13" s="51" t="str">
        <f>IF(AND(ISNUMBER($F13),$F13&gt;0,ISNUMBER($G13)),$G13/$F13,"")</f>
        <v/>
      </c>
      <c r="R13" s="51" t="str">
        <f>IF(AND(ISNUMBER($F13),$F13&gt;0,ISNUMBER($H13)),$H13/$F13,"")</f>
        <v/>
      </c>
      <c r="S13" s="52" t="str">
        <f>IF(AND(ISNUMBER($J13),ISNUMBER($L13)),IF($L13&gt;0,$J13/$L13,""),"")</f>
        <v/>
      </c>
      <c r="T13" s="53" t="str">
        <f>IF(ISNUMBER($A13),YEAR($A13)&amp;"-"&amp;TEXT(MONTH($A13),"00"),"")</f>
        <v/>
      </c>
    </row>
    <row r="14">
      <c r="A14" s="47" t="n"/>
      <c r="B14" s="48" t="n"/>
      <c r="C14" s="48" t="n"/>
      <c r="D14" s="48" t="n"/>
      <c r="E14" s="48" t="n"/>
      <c r="F14" s="49" t="n"/>
      <c r="G14" s="49" t="n"/>
      <c r="H14" s="49" t="n"/>
      <c r="I14" s="49" t="n"/>
      <c r="J14" s="49" t="n"/>
      <c r="K14" s="49" t="n"/>
      <c r="L14" s="49" t="n"/>
      <c r="M14" s="49" t="n"/>
      <c r="N14" s="49" t="n"/>
      <c r="O14" s="49" t="n"/>
      <c r="P14" s="50" t="n"/>
      <c r="Q14" s="51" t="str">
        <f>IF(AND(ISNUMBER($F14),$F14&gt;0,ISNUMBER($G14)),$G14/$F14,"")</f>
        <v/>
      </c>
      <c r="R14" s="51" t="str">
        <f>IF(AND(ISNUMBER($F14),$F14&gt;0,ISNUMBER($H14)),$H14/$F14,"")</f>
        <v/>
      </c>
      <c r="S14" s="52" t="str">
        <f>IF(AND(ISNUMBER($J14),ISNUMBER($L14)),IF($L14&gt;0,$J14/$L14,""),"")</f>
        <v/>
      </c>
      <c r="T14" s="53" t="str">
        <f>IF(ISNUMBER($A14),YEAR($A14)&amp;"-"&amp;TEXT(MONTH($A14),"00"),"")</f>
        <v/>
      </c>
    </row>
    <row r="15">
      <c r="A15" s="47" t="n"/>
      <c r="B15" s="48" t="n"/>
      <c r="C15" s="48" t="n"/>
      <c r="D15" s="48" t="n"/>
      <c r="E15" s="48" t="n"/>
      <c r="F15" s="49" t="n"/>
      <c r="G15" s="49" t="n"/>
      <c r="H15" s="49" t="n"/>
      <c r="I15" s="49" t="n"/>
      <c r="J15" s="49" t="n"/>
      <c r="K15" s="49" t="n"/>
      <c r="L15" s="49" t="n"/>
      <c r="M15" s="49" t="n"/>
      <c r="N15" s="49" t="n"/>
      <c r="O15" s="49" t="n"/>
      <c r="P15" s="50" t="n"/>
      <c r="Q15" s="51" t="str">
        <f>IF(AND(ISNUMBER($F15),$F15&gt;0,ISNUMBER($G15)),$G15/$F15,"")</f>
        <v/>
      </c>
      <c r="R15" s="51" t="str">
        <f>IF(AND(ISNUMBER($F15),$F15&gt;0,ISNUMBER($H15)),$H15/$F15,"")</f>
        <v/>
      </c>
      <c r="S15" s="52" t="str">
        <f>IF(AND(ISNUMBER($J15),ISNUMBER($L15)),IF($L15&gt;0,$J15/$L15,""),"")</f>
        <v/>
      </c>
      <c r="T15" s="53" t="str">
        <f>IF(ISNUMBER($A15),YEAR($A15)&amp;"-"&amp;TEXT(MONTH($A15),"00"),"")</f>
        <v/>
      </c>
    </row>
    <row r="16">
      <c r="A16" s="47" t="n"/>
      <c r="B16" s="48" t="n"/>
      <c r="C16" s="48" t="n"/>
      <c r="D16" s="48" t="n"/>
      <c r="E16" s="48" t="n"/>
      <c r="F16" s="49" t="n"/>
      <c r="G16" s="49" t="n"/>
      <c r="H16" s="49" t="n"/>
      <c r="I16" s="49" t="n"/>
      <c r="J16" s="49" t="n"/>
      <c r="K16" s="49" t="n"/>
      <c r="L16" s="49" t="n"/>
      <c r="M16" s="49" t="n"/>
      <c r="N16" s="49" t="n"/>
      <c r="O16" s="49" t="n"/>
      <c r="P16" s="50" t="n"/>
      <c r="Q16" s="51" t="str">
        <f>IF(AND(ISNUMBER($F16),$F16&gt;0,ISNUMBER($G16)),$G16/$F16,"")</f>
        <v/>
      </c>
      <c r="R16" s="51" t="str">
        <f>IF(AND(ISNUMBER($F16),$F16&gt;0,ISNUMBER($H16)),$H16/$F16,"")</f>
        <v/>
      </c>
      <c r="S16" s="52" t="str">
        <f>IF(AND(ISNUMBER($J16),ISNUMBER($L16)),IF($L16&gt;0,$J16/$L16,""),"")</f>
        <v/>
      </c>
      <c r="T16" s="53" t="str">
        <f>IF(ISNUMBER($A16),YEAR($A16)&amp;"-"&amp;TEXT(MONTH($A16),"00"),"")</f>
        <v/>
      </c>
    </row>
    <row r="17">
      <c r="A17" s="47" t="n"/>
      <c r="B17" s="48" t="n"/>
      <c r="C17" s="48" t="n"/>
      <c r="D17" s="48" t="n"/>
      <c r="E17" s="48" t="n"/>
      <c r="F17" s="49" t="n"/>
      <c r="G17" s="49" t="n"/>
      <c r="H17" s="49" t="n"/>
      <c r="I17" s="49" t="n"/>
      <c r="J17" s="49" t="n"/>
      <c r="K17" s="49" t="n"/>
      <c r="L17" s="49" t="n"/>
      <c r="M17" s="49" t="n"/>
      <c r="N17" s="49" t="n"/>
      <c r="O17" s="49" t="n"/>
      <c r="P17" s="50" t="n"/>
      <c r="Q17" s="51" t="str">
        <f>IF(AND(ISNUMBER($F17),$F17&gt;0,ISNUMBER($G17)),$G17/$F17,"")</f>
        <v/>
      </c>
      <c r="R17" s="51" t="str">
        <f>IF(AND(ISNUMBER($F17),$F17&gt;0,ISNUMBER($H17)),$H17/$F17,"")</f>
        <v/>
      </c>
      <c r="S17" s="52" t="str">
        <f>IF(AND(ISNUMBER($J17),ISNUMBER($L17)),IF($L17&gt;0,$J17/$L17,""),"")</f>
        <v/>
      </c>
      <c r="T17" s="53" t="str">
        <f>IF(ISNUMBER($A17),YEAR($A17)&amp;"-"&amp;TEXT(MONTH($A17),"00"),"")</f>
        <v/>
      </c>
    </row>
    <row r="18">
      <c r="A18" s="47" t="n"/>
      <c r="B18" s="48" t="n"/>
      <c r="C18" s="48" t="n"/>
      <c r="D18" s="48" t="n"/>
      <c r="E18" s="48" t="n"/>
      <c r="F18" s="49" t="n"/>
      <c r="G18" s="49" t="n"/>
      <c r="H18" s="49" t="n"/>
      <c r="I18" s="49" t="n"/>
      <c r="J18" s="49" t="n"/>
      <c r="K18" s="49" t="n"/>
      <c r="L18" s="49" t="n"/>
      <c r="M18" s="49" t="n"/>
      <c r="N18" s="49" t="n"/>
      <c r="O18" s="49" t="n"/>
      <c r="P18" s="50" t="n"/>
      <c r="Q18" s="51" t="str">
        <f>IF(AND(ISNUMBER($F18),$F18&gt;0,ISNUMBER($G18)),$G18/$F18,"")</f>
        <v/>
      </c>
      <c r="R18" s="51" t="str">
        <f>IF(AND(ISNUMBER($F18),$F18&gt;0,ISNUMBER($H18)),$H18/$F18,"")</f>
        <v/>
      </c>
      <c r="S18" s="52" t="str">
        <f>IF(AND(ISNUMBER($J18),ISNUMBER($L18)),IF($L18&gt;0,$J18/$L18,""),"")</f>
        <v/>
      </c>
      <c r="T18" s="53" t="str">
        <f>IF(ISNUMBER($A18),YEAR($A18)&amp;"-"&amp;TEXT(MONTH($A18),"00"),"")</f>
        <v/>
      </c>
    </row>
    <row r="19">
      <c r="A19" s="47" t="n"/>
      <c r="B19" s="48" t="n"/>
      <c r="C19" s="48" t="n"/>
      <c r="D19" s="48" t="n"/>
      <c r="E19" s="48" t="n"/>
      <c r="F19" s="49" t="n"/>
      <c r="G19" s="49" t="n"/>
      <c r="H19" s="49" t="n"/>
      <c r="I19" s="49" t="n"/>
      <c r="J19" s="49" t="n"/>
      <c r="K19" s="49" t="n"/>
      <c r="L19" s="49" t="n"/>
      <c r="M19" s="49" t="n"/>
      <c r="N19" s="49" t="n"/>
      <c r="O19" s="49" t="n"/>
      <c r="P19" s="50" t="n"/>
      <c r="Q19" s="51" t="str">
        <f>IF(AND(ISNUMBER($F19),$F19&gt;0,ISNUMBER($G19)),$G19/$F19,"")</f>
        <v/>
      </c>
      <c r="R19" s="51" t="str">
        <f>IF(AND(ISNUMBER($F19),$F19&gt;0,ISNUMBER($H19)),$H19/$F19,"")</f>
        <v/>
      </c>
      <c r="S19" s="52" t="str">
        <f>IF(AND(ISNUMBER($J19),ISNUMBER($L19)),IF($L19&gt;0,$J19/$L19,""),"")</f>
        <v/>
      </c>
      <c r="T19" s="53" t="str">
        <f>IF(ISNUMBER($A19),YEAR($A19)&amp;"-"&amp;TEXT(MONTH($A19),"00"),"")</f>
        <v/>
      </c>
    </row>
    <row r="20">
      <c r="A20" s="47" t="n"/>
      <c r="B20" s="48" t="n"/>
      <c r="C20" s="48" t="n"/>
      <c r="D20" s="48" t="n"/>
      <c r="E20" s="48" t="n"/>
      <c r="F20" s="49" t="n"/>
      <c r="G20" s="49" t="n"/>
      <c r="H20" s="49" t="n"/>
      <c r="I20" s="49" t="n"/>
      <c r="J20" s="49" t="n"/>
      <c r="K20" s="49" t="n"/>
      <c r="L20" s="49" t="n"/>
      <c r="M20" s="49" t="n"/>
      <c r="N20" s="49" t="n"/>
      <c r="O20" s="49" t="n"/>
      <c r="P20" s="50" t="n"/>
      <c r="Q20" s="51" t="str">
        <f>IF(AND(ISNUMBER($F20),$F20&gt;0,ISNUMBER($G20)),$G20/$F20,"")</f>
        <v/>
      </c>
      <c r="R20" s="51" t="str">
        <f>IF(AND(ISNUMBER($F20),$F20&gt;0,ISNUMBER($H20)),$H20/$F20,"")</f>
        <v/>
      </c>
      <c r="S20" s="52" t="str">
        <f>IF(AND(ISNUMBER($J20),ISNUMBER($L20)),IF($L20&gt;0,$J20/$L20,""),"")</f>
        <v/>
      </c>
      <c r="T20" s="53" t="str">
        <f>IF(ISNUMBER($A20),YEAR($A20)&amp;"-"&amp;TEXT(MONTH($A20),"00"),"")</f>
        <v/>
      </c>
    </row>
    <row r="21">
      <c r="A21" s="47" t="n"/>
      <c r="B21" s="48" t="n"/>
      <c r="C21" s="48" t="n"/>
      <c r="D21" s="48" t="n"/>
      <c r="E21" s="48" t="n"/>
      <c r="F21" s="49" t="n"/>
      <c r="G21" s="49" t="n"/>
      <c r="H21" s="49" t="n"/>
      <c r="I21" s="49" t="n"/>
      <c r="J21" s="49" t="n"/>
      <c r="K21" s="49" t="n"/>
      <c r="L21" s="49" t="n"/>
      <c r="M21" s="49" t="n"/>
      <c r="N21" s="49" t="n"/>
      <c r="O21" s="49" t="n"/>
      <c r="P21" s="50" t="n"/>
      <c r="Q21" s="51" t="str">
        <f>IF(AND(ISNUMBER($F21),$F21&gt;0,ISNUMBER($G21)),$G21/$F21,"")</f>
        <v/>
      </c>
      <c r="R21" s="51" t="str">
        <f>IF(AND(ISNUMBER($F21),$F21&gt;0,ISNUMBER($H21)),$H21/$F21,"")</f>
        <v/>
      </c>
      <c r="S21" s="52" t="str">
        <f>IF(AND(ISNUMBER($J21),ISNUMBER($L21)),IF($L21&gt;0,$J21/$L21,""),"")</f>
        <v/>
      </c>
      <c r="T21" s="53" t="str">
        <f>IF(ISNUMBER($A21),YEAR($A21)&amp;"-"&amp;TEXT(MONTH($A21),"00"),"")</f>
        <v/>
      </c>
    </row>
    <row r="22">
      <c r="A22" s="47" t="n"/>
      <c r="B22" s="48" t="n"/>
      <c r="C22" s="48" t="n"/>
      <c r="D22" s="48" t="n"/>
      <c r="E22" s="48" t="n"/>
      <c r="F22" s="49" t="n"/>
      <c r="G22" s="49" t="n"/>
      <c r="H22" s="49" t="n"/>
      <c r="I22" s="49" t="n"/>
      <c r="J22" s="49" t="n"/>
      <c r="K22" s="49" t="n"/>
      <c r="L22" s="49" t="n"/>
      <c r="M22" s="49" t="n"/>
      <c r="N22" s="49" t="n"/>
      <c r="O22" s="49" t="n"/>
      <c r="P22" s="50" t="n"/>
      <c r="Q22" s="51" t="str">
        <f>IF(AND(ISNUMBER($F22),$F22&gt;0,ISNUMBER($G22)),$G22/$F22,"")</f>
        <v/>
      </c>
      <c r="R22" s="51" t="str">
        <f>IF(AND(ISNUMBER($F22),$F22&gt;0,ISNUMBER($H22)),$H22/$F22,"")</f>
        <v/>
      </c>
      <c r="S22" s="52" t="str">
        <f>IF(AND(ISNUMBER($J22),ISNUMBER($L22)),IF($L22&gt;0,$J22/$L22,""),"")</f>
        <v/>
      </c>
      <c r="T22" s="53" t="str">
        <f>IF(ISNUMBER($A22),YEAR($A22)&amp;"-"&amp;TEXT(MONTH($A22),"00"),"")</f>
        <v/>
      </c>
    </row>
    <row r="23">
      <c r="A23" s="47" t="n"/>
      <c r="B23" s="48" t="n"/>
      <c r="C23" s="48" t="n"/>
      <c r="D23" s="48" t="n"/>
      <c r="E23" s="48" t="n"/>
      <c r="F23" s="49" t="n"/>
      <c r="G23" s="49" t="n"/>
      <c r="H23" s="49" t="n"/>
      <c r="I23" s="49" t="n"/>
      <c r="J23" s="49" t="n"/>
      <c r="K23" s="49" t="n"/>
      <c r="L23" s="49" t="n"/>
      <c r="M23" s="49" t="n"/>
      <c r="N23" s="49" t="n"/>
      <c r="O23" s="49" t="n"/>
      <c r="P23" s="50" t="n"/>
      <c r="Q23" s="51" t="str">
        <f>IF(AND(ISNUMBER($F23),$F23&gt;0,ISNUMBER($G23)),$G23/$F23,"")</f>
        <v/>
      </c>
      <c r="R23" s="51" t="str">
        <f>IF(AND(ISNUMBER($F23),$F23&gt;0,ISNUMBER($H23)),$H23/$F23,"")</f>
        <v/>
      </c>
      <c r="S23" s="52" t="str">
        <f>IF(AND(ISNUMBER($J23),ISNUMBER($L23)),IF($L23&gt;0,$J23/$L23,""),"")</f>
        <v/>
      </c>
      <c r="T23" s="53" t="str">
        <f>IF(ISNUMBER($A23),YEAR($A23)&amp;"-"&amp;TEXT(MONTH($A23),"00"),"")</f>
        <v/>
      </c>
    </row>
    <row r="24">
      <c r="A24" s="47" t="n"/>
      <c r="B24" s="48" t="n"/>
      <c r="C24" s="48" t="n"/>
      <c r="D24" s="48" t="n"/>
      <c r="E24" s="48" t="n"/>
      <c r="F24" s="49" t="n"/>
      <c r="G24" s="49" t="n"/>
      <c r="H24" s="49" t="n"/>
      <c r="I24" s="49" t="n"/>
      <c r="J24" s="49" t="n"/>
      <c r="K24" s="49" t="n"/>
      <c r="L24" s="49" t="n"/>
      <c r="M24" s="49" t="n"/>
      <c r="N24" s="49" t="n"/>
      <c r="O24" s="49" t="n"/>
      <c r="P24" s="50" t="n"/>
      <c r="Q24" s="51" t="str">
        <f>IF(AND(ISNUMBER($F24),$F24&gt;0,ISNUMBER($G24)),$G24/$F24,"")</f>
        <v/>
      </c>
      <c r="R24" s="51" t="str">
        <f>IF(AND(ISNUMBER($F24),$F24&gt;0,ISNUMBER($H24)),$H24/$F24,"")</f>
        <v/>
      </c>
      <c r="S24" s="52" t="str">
        <f>IF(AND(ISNUMBER($J24),ISNUMBER($L24)),IF($L24&gt;0,$J24/$L24,""),"")</f>
        <v/>
      </c>
      <c r="T24" s="53" t="str">
        <f>IF(ISNUMBER($A24),YEAR($A24)&amp;"-"&amp;TEXT(MONTH($A24),"00"),"")</f>
        <v/>
      </c>
    </row>
    <row r="25">
      <c r="A25" s="47" t="n"/>
      <c r="B25" s="48" t="n"/>
      <c r="C25" s="48" t="n"/>
      <c r="D25" s="48" t="n"/>
      <c r="E25" s="48" t="n"/>
      <c r="F25" s="49" t="n"/>
      <c r="G25" s="49" t="n"/>
      <c r="H25" s="49" t="n"/>
      <c r="I25" s="49" t="n"/>
      <c r="J25" s="49" t="n"/>
      <c r="K25" s="49" t="n"/>
      <c r="L25" s="49" t="n"/>
      <c r="M25" s="49" t="n"/>
      <c r="N25" s="49" t="n"/>
      <c r="O25" s="49" t="n"/>
      <c r="P25" s="50" t="n"/>
      <c r="Q25" s="51" t="str">
        <f>IF(AND(ISNUMBER($F25),$F25&gt;0,ISNUMBER($G25)),$G25/$F25,"")</f>
        <v/>
      </c>
      <c r="R25" s="51" t="str">
        <f>IF(AND(ISNUMBER($F25),$F25&gt;0,ISNUMBER($H25)),$H25/$F25,"")</f>
        <v/>
      </c>
      <c r="S25" s="52" t="str">
        <f>IF(AND(ISNUMBER($J25),ISNUMBER($L25)),IF($L25&gt;0,$J25/$L25,""),"")</f>
        <v/>
      </c>
      <c r="T25" s="53" t="str">
        <f>IF(ISNUMBER($A25),YEAR($A25)&amp;"-"&amp;TEXT(MONTH($A25),"00"),"")</f>
        <v/>
      </c>
    </row>
    <row r="26">
      <c r="A26" s="47" t="n"/>
      <c r="B26" s="48" t="n"/>
      <c r="C26" s="48" t="n"/>
      <c r="D26" s="48" t="n"/>
      <c r="E26" s="48" t="n"/>
      <c r="F26" s="49" t="n"/>
      <c r="G26" s="49" t="n"/>
      <c r="H26" s="49" t="n"/>
      <c r="I26" s="49" t="n"/>
      <c r="J26" s="49" t="n"/>
      <c r="K26" s="49" t="n"/>
      <c r="L26" s="49" t="n"/>
      <c r="M26" s="49" t="n"/>
      <c r="N26" s="49" t="n"/>
      <c r="O26" s="49" t="n"/>
      <c r="P26" s="50" t="n"/>
      <c r="Q26" s="51" t="str">
        <f>IF(AND(ISNUMBER($F26),$F26&gt;0,ISNUMBER($G26)),$G26/$F26,"")</f>
        <v/>
      </c>
      <c r="R26" s="51" t="str">
        <f>IF(AND(ISNUMBER($F26),$F26&gt;0,ISNUMBER($H26)),$H26/$F26,"")</f>
        <v/>
      </c>
      <c r="S26" s="52" t="str">
        <f>IF(AND(ISNUMBER($J26),ISNUMBER($L26)),IF($L26&gt;0,$J26/$L26,""),"")</f>
        <v/>
      </c>
      <c r="T26" s="53" t="str">
        <f>IF(ISNUMBER($A26),YEAR($A26)&amp;"-"&amp;TEXT(MONTH($A26),"00"),"")</f>
        <v/>
      </c>
    </row>
    <row r="27">
      <c r="A27" s="47" t="n"/>
      <c r="B27" s="48" t="n"/>
      <c r="C27" s="48" t="n"/>
      <c r="D27" s="48" t="n"/>
      <c r="E27" s="48" t="n"/>
      <c r="F27" s="49" t="n"/>
      <c r="G27" s="49" t="n"/>
      <c r="H27" s="49" t="n"/>
      <c r="I27" s="49" t="n"/>
      <c r="J27" s="49" t="n"/>
      <c r="K27" s="49" t="n"/>
      <c r="L27" s="49" t="n"/>
      <c r="M27" s="49" t="n"/>
      <c r="N27" s="49" t="n"/>
      <c r="O27" s="49" t="n"/>
      <c r="P27" s="50" t="n"/>
      <c r="Q27" s="51" t="str">
        <f>IF(AND(ISNUMBER($F27),$F27&gt;0,ISNUMBER($G27)),$G27/$F27,"")</f>
        <v/>
      </c>
      <c r="R27" s="51" t="str">
        <f>IF(AND(ISNUMBER($F27),$F27&gt;0,ISNUMBER($H27)),$H27/$F27,"")</f>
        <v/>
      </c>
      <c r="S27" s="52" t="str">
        <f>IF(AND(ISNUMBER($J27),ISNUMBER($L27)),IF($L27&gt;0,$J27/$L27,""),"")</f>
        <v/>
      </c>
      <c r="T27" s="53" t="str">
        <f>IF(ISNUMBER($A27),YEAR($A27)&amp;"-"&amp;TEXT(MONTH($A27),"00"),"")</f>
        <v/>
      </c>
    </row>
    <row r="28">
      <c r="A28" s="47" t="n"/>
      <c r="B28" s="48" t="n"/>
      <c r="C28" s="48" t="n"/>
      <c r="D28" s="48" t="n"/>
      <c r="E28" s="48" t="n"/>
      <c r="F28" s="49" t="n"/>
      <c r="G28" s="49" t="n"/>
      <c r="H28" s="49" t="n"/>
      <c r="I28" s="49" t="n"/>
      <c r="J28" s="49" t="n"/>
      <c r="K28" s="49" t="n"/>
      <c r="L28" s="49" t="n"/>
      <c r="M28" s="49" t="n"/>
      <c r="N28" s="49" t="n"/>
      <c r="O28" s="49" t="n"/>
      <c r="P28" s="50" t="n"/>
      <c r="Q28" s="51" t="str">
        <f>IF(AND(ISNUMBER($F28),$F28&gt;0,ISNUMBER($G28)),$G28/$F28,"")</f>
        <v/>
      </c>
      <c r="R28" s="51" t="str">
        <f>IF(AND(ISNUMBER($F28),$F28&gt;0,ISNUMBER($H28)),$H28/$F28,"")</f>
        <v/>
      </c>
      <c r="S28" s="52" t="str">
        <f>IF(AND(ISNUMBER($J28),ISNUMBER($L28)),IF($L28&gt;0,$J28/$L28,""),"")</f>
        <v/>
      </c>
      <c r="T28" s="53" t="str">
        <f>IF(ISNUMBER($A28),YEAR($A28)&amp;"-"&amp;TEXT(MONTH($A28),"00"),"")</f>
        <v/>
      </c>
    </row>
    <row r="29">
      <c r="A29" s="47" t="n"/>
      <c r="B29" s="48" t="n"/>
      <c r="C29" s="48" t="n"/>
      <c r="D29" s="48" t="n"/>
      <c r="E29" s="48" t="n"/>
      <c r="F29" s="49" t="n"/>
      <c r="G29" s="49" t="n"/>
      <c r="H29" s="49" t="n"/>
      <c r="I29" s="49" t="n"/>
      <c r="J29" s="49" t="n"/>
      <c r="K29" s="49" t="n"/>
      <c r="L29" s="49" t="n"/>
      <c r="M29" s="49" t="n"/>
      <c r="N29" s="49" t="n"/>
      <c r="O29" s="49" t="n"/>
      <c r="P29" s="50" t="n"/>
      <c r="Q29" s="51" t="str">
        <f>IF(AND(ISNUMBER($F29),$F29&gt;0,ISNUMBER($G29)),$G29/$F29,"")</f>
        <v/>
      </c>
      <c r="R29" s="51" t="str">
        <f>IF(AND(ISNUMBER($F29),$F29&gt;0,ISNUMBER($H29)),$H29/$F29,"")</f>
        <v/>
      </c>
      <c r="S29" s="52" t="str">
        <f>IF(AND(ISNUMBER($J29),ISNUMBER($L29)),IF($L29&gt;0,$J29/$L29,""),"")</f>
        <v/>
      </c>
      <c r="T29" s="53" t="str">
        <f>IF(ISNUMBER($A29),YEAR($A29)&amp;"-"&amp;TEXT(MONTH($A29),"00"),"")</f>
        <v/>
      </c>
    </row>
    <row r="30">
      <c r="A30" s="47" t="n"/>
      <c r="B30" s="48" t="n"/>
      <c r="C30" s="48" t="n"/>
      <c r="D30" s="48" t="n"/>
      <c r="E30" s="48" t="n"/>
      <c r="F30" s="49" t="n"/>
      <c r="G30" s="49" t="n"/>
      <c r="H30" s="49" t="n"/>
      <c r="I30" s="49" t="n"/>
      <c r="J30" s="49" t="n"/>
      <c r="K30" s="49" t="n"/>
      <c r="L30" s="49" t="n"/>
      <c r="M30" s="49" t="n"/>
      <c r="N30" s="49" t="n"/>
      <c r="O30" s="49" t="n"/>
      <c r="P30" s="50" t="n"/>
      <c r="Q30" s="51" t="str">
        <f>IF(AND(ISNUMBER($F30),$F30&gt;0,ISNUMBER($G30)),$G30/$F30,"")</f>
        <v/>
      </c>
      <c r="R30" s="51" t="str">
        <f>IF(AND(ISNUMBER($F30),$F30&gt;0,ISNUMBER($H30)),$H30/$F30,"")</f>
        <v/>
      </c>
      <c r="S30" s="52" t="str">
        <f>IF(AND(ISNUMBER($J30),ISNUMBER($L30)),IF($L30&gt;0,$J30/$L30,""),"")</f>
        <v/>
      </c>
      <c r="T30" s="53" t="str">
        <f>IF(ISNUMBER($A30),YEAR($A30)&amp;"-"&amp;TEXT(MONTH($A30),"00"),"")</f>
        <v/>
      </c>
    </row>
    <row r="31">
      <c r="A31" s="47" t="n"/>
      <c r="B31" s="48" t="n"/>
      <c r="C31" s="48" t="n"/>
      <c r="D31" s="48" t="n"/>
      <c r="E31" s="48" t="n"/>
      <c r="F31" s="49" t="n"/>
      <c r="G31" s="49" t="n"/>
      <c r="H31" s="49" t="n"/>
      <c r="I31" s="49" t="n"/>
      <c r="J31" s="49" t="n"/>
      <c r="K31" s="49" t="n"/>
      <c r="L31" s="49" t="n"/>
      <c r="M31" s="49" t="n"/>
      <c r="N31" s="49" t="n"/>
      <c r="O31" s="49" t="n"/>
      <c r="P31" s="50" t="n"/>
      <c r="Q31" s="51" t="str">
        <f>IF(AND(ISNUMBER($F31),$F31&gt;0,ISNUMBER($G31)),$G31/$F31,"")</f>
        <v/>
      </c>
      <c r="R31" s="51" t="str">
        <f>IF(AND(ISNUMBER($F31),$F31&gt;0,ISNUMBER($H31)),$H31/$F31,"")</f>
        <v/>
      </c>
      <c r="S31" s="52" t="str">
        <f>IF(AND(ISNUMBER($J31),ISNUMBER($L31)),IF($L31&gt;0,$J31/$L31,""),"")</f>
        <v/>
      </c>
      <c r="T31" s="53" t="str">
        <f>IF(ISNUMBER($A31),YEAR($A31)&amp;"-"&amp;TEXT(MONTH($A31),"00"),"")</f>
        <v/>
      </c>
    </row>
    <row r="32">
      <c r="A32" s="47" t="n"/>
      <c r="B32" s="48" t="n"/>
      <c r="C32" s="48" t="n"/>
      <c r="D32" s="48" t="n"/>
      <c r="E32" s="48" t="n"/>
      <c r="F32" s="49" t="n"/>
      <c r="G32" s="49" t="n"/>
      <c r="H32" s="49" t="n"/>
      <c r="I32" s="49" t="n"/>
      <c r="J32" s="49" t="n"/>
      <c r="K32" s="49" t="n"/>
      <c r="L32" s="49" t="n"/>
      <c r="M32" s="49" t="n"/>
      <c r="N32" s="49" t="n"/>
      <c r="O32" s="49" t="n"/>
      <c r="P32" s="50" t="n"/>
      <c r="Q32" s="51" t="str">
        <f>IF(AND(ISNUMBER($F32),$F32&gt;0,ISNUMBER($G32)),$G32/$F32,"")</f>
        <v/>
      </c>
      <c r="R32" s="51" t="str">
        <f>IF(AND(ISNUMBER($F32),$F32&gt;0,ISNUMBER($H32)),$H32/$F32,"")</f>
        <v/>
      </c>
      <c r="S32" s="52" t="str">
        <f>IF(AND(ISNUMBER($J32),ISNUMBER($L32)),IF($L32&gt;0,$J32/$L32,""),"")</f>
        <v/>
      </c>
      <c r="T32" s="53" t="str">
        <f>IF(ISNUMBER($A32),YEAR($A32)&amp;"-"&amp;TEXT(MONTH($A32),"00"),"")</f>
        <v/>
      </c>
    </row>
    <row r="33">
      <c r="A33" s="47" t="n"/>
      <c r="B33" s="48" t="n"/>
      <c r="C33" s="48" t="n"/>
      <c r="D33" s="48" t="n"/>
      <c r="E33" s="48" t="n"/>
      <c r="F33" s="49" t="n"/>
      <c r="G33" s="49" t="n"/>
      <c r="H33" s="49" t="n"/>
      <c r="I33" s="49" t="n"/>
      <c r="J33" s="49" t="n"/>
      <c r="K33" s="49" t="n"/>
      <c r="L33" s="49" t="n"/>
      <c r="M33" s="49" t="n"/>
      <c r="N33" s="49" t="n"/>
      <c r="O33" s="49" t="n"/>
      <c r="P33" s="50" t="n"/>
      <c r="Q33" s="51" t="str">
        <f>IF(AND(ISNUMBER($F33),$F33&gt;0,ISNUMBER($G33)),$G33/$F33,"")</f>
        <v/>
      </c>
      <c r="R33" s="51" t="str">
        <f>IF(AND(ISNUMBER($F33),$F33&gt;0,ISNUMBER($H33)),$H33/$F33,"")</f>
        <v/>
      </c>
      <c r="S33" s="52" t="str">
        <f>IF(AND(ISNUMBER($J33),ISNUMBER($L33)),IF($L33&gt;0,$J33/$L33,""),"")</f>
        <v/>
      </c>
      <c r="T33" s="53" t="str">
        <f>IF(ISNUMBER($A33),YEAR($A33)&amp;"-"&amp;TEXT(MONTH($A33),"00"),"")</f>
        <v/>
      </c>
    </row>
    <row r="34">
      <c r="A34" s="47" t="n"/>
      <c r="B34" s="48" t="n"/>
      <c r="C34" s="48" t="n"/>
      <c r="D34" s="48" t="n"/>
      <c r="E34" s="48" t="n"/>
      <c r="F34" s="49" t="n"/>
      <c r="G34" s="49" t="n"/>
      <c r="H34" s="49" t="n"/>
      <c r="I34" s="49" t="n"/>
      <c r="J34" s="49" t="n"/>
      <c r="K34" s="49" t="n"/>
      <c r="L34" s="49" t="n"/>
      <c r="M34" s="49" t="n"/>
      <c r="N34" s="49" t="n"/>
      <c r="O34" s="49" t="n"/>
      <c r="P34" s="50" t="n"/>
      <c r="Q34" s="51" t="str">
        <f>IF(AND(ISNUMBER($F34),$F34&gt;0,ISNUMBER($G34)),$G34/$F34,"")</f>
        <v/>
      </c>
      <c r="R34" s="51" t="str">
        <f>IF(AND(ISNUMBER($F34),$F34&gt;0,ISNUMBER($H34)),$H34/$F34,"")</f>
        <v/>
      </c>
      <c r="S34" s="52" t="str">
        <f>IF(AND(ISNUMBER($J34),ISNUMBER($L34)),IF($L34&gt;0,$J34/$L34,""),"")</f>
        <v/>
      </c>
      <c r="T34" s="53" t="str">
        <f>IF(ISNUMBER($A34),YEAR($A34)&amp;"-"&amp;TEXT(MONTH($A34),"00"),"")</f>
        <v/>
      </c>
    </row>
    <row r="35">
      <c r="A35" s="47" t="n"/>
      <c r="B35" s="48" t="n"/>
      <c r="C35" s="48" t="n"/>
      <c r="D35" s="48" t="n"/>
      <c r="E35" s="48" t="n"/>
      <c r="F35" s="49" t="n"/>
      <c r="G35" s="49" t="n"/>
      <c r="H35" s="49" t="n"/>
      <c r="I35" s="49" t="n"/>
      <c r="J35" s="49" t="n"/>
      <c r="K35" s="49" t="n"/>
      <c r="L35" s="49" t="n"/>
      <c r="M35" s="49" t="n"/>
      <c r="N35" s="49" t="n"/>
      <c r="O35" s="49" t="n"/>
      <c r="P35" s="50" t="n"/>
      <c r="Q35" s="51" t="str">
        <f>IF(AND(ISNUMBER($F35),$F35&gt;0,ISNUMBER($G35)),$G35/$F35,"")</f>
        <v/>
      </c>
      <c r="R35" s="51" t="str">
        <f>IF(AND(ISNUMBER($F35),$F35&gt;0,ISNUMBER($H35)),$H35/$F35,"")</f>
        <v/>
      </c>
      <c r="S35" s="52" t="str">
        <f>IF(AND(ISNUMBER($J35),ISNUMBER($L35)),IF($L35&gt;0,$J35/$L35,""),"")</f>
        <v/>
      </c>
      <c r="T35" s="53" t="str">
        <f>IF(ISNUMBER($A35),YEAR($A35)&amp;"-"&amp;TEXT(MONTH($A35),"00"),"")</f>
        <v/>
      </c>
    </row>
    <row r="36">
      <c r="A36" s="47" t="n"/>
      <c r="B36" s="48" t="n"/>
      <c r="C36" s="48" t="n"/>
      <c r="D36" s="48" t="n"/>
      <c r="E36" s="48" t="n"/>
      <c r="F36" s="49" t="n"/>
      <c r="G36" s="49" t="n"/>
      <c r="H36" s="49" t="n"/>
      <c r="I36" s="49" t="n"/>
      <c r="J36" s="49" t="n"/>
      <c r="K36" s="49" t="n"/>
      <c r="L36" s="49" t="n"/>
      <c r="M36" s="49" t="n"/>
      <c r="N36" s="49" t="n"/>
      <c r="O36" s="49" t="n"/>
      <c r="P36" s="50" t="n"/>
      <c r="Q36" s="51" t="str">
        <f>IF(AND(ISNUMBER($F36),$F36&gt;0,ISNUMBER($G36)),$G36/$F36,"")</f>
        <v/>
      </c>
      <c r="R36" s="51" t="str">
        <f>IF(AND(ISNUMBER($F36),$F36&gt;0,ISNUMBER($H36)),$H36/$F36,"")</f>
        <v/>
      </c>
      <c r="S36" s="52" t="str">
        <f>IF(AND(ISNUMBER($J36),ISNUMBER($L36)),IF($L36&gt;0,$J36/$L36,""),"")</f>
        <v/>
      </c>
      <c r="T36" s="53" t="str">
        <f>IF(ISNUMBER($A36),YEAR($A36)&amp;"-"&amp;TEXT(MONTH($A36),"00"),"")</f>
        <v/>
      </c>
    </row>
    <row r="37">
      <c r="A37" s="47" t="n"/>
      <c r="B37" s="48" t="n"/>
      <c r="C37" s="48" t="n"/>
      <c r="D37" s="48" t="n"/>
      <c r="E37" s="48" t="n"/>
      <c r="F37" s="49" t="n"/>
      <c r="G37" s="49" t="n"/>
      <c r="H37" s="49" t="n"/>
      <c r="I37" s="49" t="n"/>
      <c r="J37" s="49" t="n"/>
      <c r="K37" s="49" t="n"/>
      <c r="L37" s="49" t="n"/>
      <c r="M37" s="49" t="n"/>
      <c r="N37" s="49" t="n"/>
      <c r="O37" s="49" t="n"/>
      <c r="P37" s="50" t="n"/>
      <c r="Q37" s="51" t="str">
        <f>IF(AND(ISNUMBER($F37),$F37&gt;0,ISNUMBER($G37)),$G37/$F37,"")</f>
        <v/>
      </c>
      <c r="R37" s="51" t="str">
        <f>IF(AND(ISNUMBER($F37),$F37&gt;0,ISNUMBER($H37)),$H37/$F37,"")</f>
        <v/>
      </c>
      <c r="S37" s="52" t="str">
        <f>IF(AND(ISNUMBER($J37),ISNUMBER($L37)),IF($L37&gt;0,$J37/$L37,""),"")</f>
        <v/>
      </c>
      <c r="T37" s="53" t="str">
        <f>IF(ISNUMBER($A37),YEAR($A37)&amp;"-"&amp;TEXT(MONTH($A37),"00"),"")</f>
        <v/>
      </c>
    </row>
    <row r="38">
      <c r="A38" s="47" t="n"/>
      <c r="B38" s="48" t="n"/>
      <c r="C38" s="48" t="n"/>
      <c r="D38" s="48" t="n"/>
      <c r="E38" s="48" t="n"/>
      <c r="F38" s="49" t="n"/>
      <c r="G38" s="49" t="n"/>
      <c r="H38" s="49" t="n"/>
      <c r="I38" s="49" t="n"/>
      <c r="J38" s="49" t="n"/>
      <c r="K38" s="49" t="n"/>
      <c r="L38" s="49" t="n"/>
      <c r="M38" s="49" t="n"/>
      <c r="N38" s="49" t="n"/>
      <c r="O38" s="49" t="n"/>
      <c r="P38" s="50" t="n"/>
      <c r="Q38" s="51" t="str">
        <f>IF(AND(ISNUMBER($F38),$F38&gt;0,ISNUMBER($G38)),$G38/$F38,"")</f>
        <v/>
      </c>
      <c r="R38" s="51" t="str">
        <f>IF(AND(ISNUMBER($F38),$F38&gt;0,ISNUMBER($H38)),$H38/$F38,"")</f>
        <v/>
      </c>
      <c r="S38" s="52" t="str">
        <f>IF(AND(ISNUMBER($J38),ISNUMBER($L38)),IF($L38&gt;0,$J38/$L38,""),"")</f>
        <v/>
      </c>
      <c r="T38" s="53" t="str">
        <f>IF(ISNUMBER($A38),YEAR($A38)&amp;"-"&amp;TEXT(MONTH($A38),"00"),"")</f>
        <v/>
      </c>
    </row>
    <row r="39">
      <c r="A39" s="47" t="n"/>
      <c r="B39" s="48" t="n"/>
      <c r="C39" s="48" t="n"/>
      <c r="D39" s="48" t="n"/>
      <c r="E39" s="48" t="n"/>
      <c r="F39" s="49" t="n"/>
      <c r="G39" s="49" t="n"/>
      <c r="H39" s="49" t="n"/>
      <c r="I39" s="49" t="n"/>
      <c r="J39" s="49" t="n"/>
      <c r="K39" s="49" t="n"/>
      <c r="L39" s="49" t="n"/>
      <c r="M39" s="49" t="n"/>
      <c r="N39" s="49" t="n"/>
      <c r="O39" s="49" t="n"/>
      <c r="P39" s="50" t="n"/>
      <c r="Q39" s="51" t="str">
        <f>IF(AND(ISNUMBER($F39),$F39&gt;0,ISNUMBER($G39)),$G39/$F39,"")</f>
        <v/>
      </c>
      <c r="R39" s="51" t="str">
        <f>IF(AND(ISNUMBER($F39),$F39&gt;0,ISNUMBER($H39)),$H39/$F39,"")</f>
        <v/>
      </c>
      <c r="S39" s="52" t="str">
        <f>IF(AND(ISNUMBER($J39),ISNUMBER($L39)),IF($L39&gt;0,$J39/$L39,""),"")</f>
        <v/>
      </c>
      <c r="T39" s="53" t="str">
        <f>IF(ISNUMBER($A39),YEAR($A39)&amp;"-"&amp;TEXT(MONTH($A39),"00"),"")</f>
        <v/>
      </c>
    </row>
    <row r="40">
      <c r="A40" s="47" t="n"/>
      <c r="B40" s="48" t="n"/>
      <c r="C40" s="48" t="n"/>
      <c r="D40" s="48" t="n"/>
      <c r="E40" s="48" t="n"/>
      <c r="F40" s="49" t="n"/>
      <c r="G40" s="49" t="n"/>
      <c r="H40" s="49" t="n"/>
      <c r="I40" s="49" t="n"/>
      <c r="J40" s="49" t="n"/>
      <c r="K40" s="49" t="n"/>
      <c r="L40" s="49" t="n"/>
      <c r="M40" s="49" t="n"/>
      <c r="N40" s="49" t="n"/>
      <c r="O40" s="49" t="n"/>
      <c r="P40" s="50" t="n"/>
      <c r="Q40" s="51" t="str">
        <f>IF(AND(ISNUMBER($F40),$F40&gt;0,ISNUMBER($G40)),$G40/$F40,"")</f>
        <v/>
      </c>
      <c r="R40" s="51" t="str">
        <f>IF(AND(ISNUMBER($F40),$F40&gt;0,ISNUMBER($H40)),$H40/$F40,"")</f>
        <v/>
      </c>
      <c r="S40" s="52" t="str">
        <f>IF(AND(ISNUMBER($J40),ISNUMBER($L40)),IF($L40&gt;0,$J40/$L40,""),"")</f>
        <v/>
      </c>
      <c r="T40" s="53" t="str">
        <f>IF(ISNUMBER($A40),YEAR($A40)&amp;"-"&amp;TEXT(MONTH($A40),"00"),"")</f>
        <v/>
      </c>
    </row>
    <row r="41">
      <c r="A41" s="47" t="n"/>
      <c r="B41" s="48" t="n"/>
      <c r="C41" s="48" t="n"/>
      <c r="D41" s="48" t="n"/>
      <c r="E41" s="48" t="n"/>
      <c r="F41" s="49" t="n"/>
      <c r="G41" s="49" t="n"/>
      <c r="H41" s="49" t="n"/>
      <c r="I41" s="49" t="n"/>
      <c r="J41" s="49" t="n"/>
      <c r="K41" s="49" t="n"/>
      <c r="L41" s="49" t="n"/>
      <c r="M41" s="49" t="n"/>
      <c r="N41" s="49" t="n"/>
      <c r="O41" s="49" t="n"/>
      <c r="P41" s="50" t="n"/>
      <c r="Q41" s="51" t="str">
        <f>IF(AND(ISNUMBER($F41),$F41&gt;0,ISNUMBER($G41)),$G41/$F41,"")</f>
        <v/>
      </c>
      <c r="R41" s="51" t="str">
        <f>IF(AND(ISNUMBER($F41),$F41&gt;0,ISNUMBER($H41)),$H41/$F41,"")</f>
        <v/>
      </c>
      <c r="S41" s="52" t="str">
        <f>IF(AND(ISNUMBER($J41),ISNUMBER($L41)),IF($L41&gt;0,$J41/$L41,""),"")</f>
        <v/>
      </c>
      <c r="T41" s="53" t="str">
        <f>IF(ISNUMBER($A41),YEAR($A41)&amp;"-"&amp;TEXT(MONTH($A41),"00"),"")</f>
        <v/>
      </c>
    </row>
    <row r="42">
      <c r="A42" s="47" t="n"/>
      <c r="B42" s="48" t="n"/>
      <c r="C42" s="48" t="n"/>
      <c r="D42" s="48" t="n"/>
      <c r="E42" s="48" t="n"/>
      <c r="F42" s="49" t="n"/>
      <c r="G42" s="49" t="n"/>
      <c r="H42" s="49" t="n"/>
      <c r="I42" s="49" t="n"/>
      <c r="J42" s="49" t="n"/>
      <c r="K42" s="49" t="n"/>
      <c r="L42" s="49" t="n"/>
      <c r="M42" s="49" t="n"/>
      <c r="N42" s="49" t="n"/>
      <c r="O42" s="49" t="n"/>
      <c r="P42" s="50" t="n"/>
      <c r="Q42" s="51" t="str">
        <f>IF(AND(ISNUMBER($F42),$F42&gt;0,ISNUMBER($G42)),$G42/$F42,"")</f>
        <v/>
      </c>
      <c r="R42" s="51" t="str">
        <f>IF(AND(ISNUMBER($F42),$F42&gt;0,ISNUMBER($H42)),$H42/$F42,"")</f>
        <v/>
      </c>
      <c r="S42" s="52" t="str">
        <f>IF(AND(ISNUMBER($J42),ISNUMBER($L42)),IF($L42&gt;0,$J42/$L42,""),"")</f>
        <v/>
      </c>
      <c r="T42" s="53" t="str">
        <f>IF(ISNUMBER($A42),YEAR($A42)&amp;"-"&amp;TEXT(MONTH($A42),"00"),"")</f>
        <v/>
      </c>
    </row>
    <row r="43">
      <c r="A43" s="47" t="n"/>
      <c r="B43" s="48" t="n"/>
      <c r="C43" s="48" t="n"/>
      <c r="D43" s="48" t="n"/>
      <c r="E43" s="48" t="n"/>
      <c r="F43" s="49" t="n"/>
      <c r="G43" s="49" t="n"/>
      <c r="H43" s="49" t="n"/>
      <c r="I43" s="49" t="n"/>
      <c r="J43" s="49" t="n"/>
      <c r="K43" s="49" t="n"/>
      <c r="L43" s="49" t="n"/>
      <c r="M43" s="49" t="n"/>
      <c r="N43" s="49" t="n"/>
      <c r="O43" s="49" t="n"/>
      <c r="P43" s="50" t="n"/>
      <c r="Q43" s="51" t="str">
        <f>IF(AND(ISNUMBER($F43),$F43&gt;0,ISNUMBER($G43)),$G43/$F43,"")</f>
        <v/>
      </c>
      <c r="R43" s="51" t="str">
        <f>IF(AND(ISNUMBER($F43),$F43&gt;0,ISNUMBER($H43)),$H43/$F43,"")</f>
        <v/>
      </c>
      <c r="S43" s="52" t="str">
        <f>IF(AND(ISNUMBER($J43),ISNUMBER($L43)),IF($L43&gt;0,$J43/$L43,""),"")</f>
        <v/>
      </c>
      <c r="T43" s="53" t="str">
        <f>IF(ISNUMBER($A43),YEAR($A43)&amp;"-"&amp;TEXT(MONTH($A43),"00"),"")</f>
        <v/>
      </c>
    </row>
    <row r="44">
      <c r="A44" s="47" t="n"/>
      <c r="B44" s="48" t="n"/>
      <c r="C44" s="48" t="n"/>
      <c r="D44" s="48" t="n"/>
      <c r="E44" s="48" t="n"/>
      <c r="F44" s="49" t="n"/>
      <c r="G44" s="49" t="n"/>
      <c r="H44" s="49" t="n"/>
      <c r="I44" s="49" t="n"/>
      <c r="J44" s="49" t="n"/>
      <c r="K44" s="49" t="n"/>
      <c r="L44" s="49" t="n"/>
      <c r="M44" s="49" t="n"/>
      <c r="N44" s="49" t="n"/>
      <c r="O44" s="49" t="n"/>
      <c r="P44" s="50" t="n"/>
      <c r="Q44" s="51" t="str">
        <f>IF(AND(ISNUMBER($F44),$F44&gt;0,ISNUMBER($G44)),$G44/$F44,"")</f>
        <v/>
      </c>
      <c r="R44" s="51" t="str">
        <f>IF(AND(ISNUMBER($F44),$F44&gt;0,ISNUMBER($H44)),$H44/$F44,"")</f>
        <v/>
      </c>
      <c r="S44" s="52" t="str">
        <f>IF(AND(ISNUMBER($J44),ISNUMBER($L44)),IF($L44&gt;0,$J44/$L44,""),"")</f>
        <v/>
      </c>
      <c r="T44" s="53" t="str">
        <f>IF(ISNUMBER($A44),YEAR($A44)&amp;"-"&amp;TEXT(MONTH($A44),"00"),"")</f>
        <v/>
      </c>
    </row>
    <row r="45">
      <c r="A45" s="47" t="n"/>
      <c r="B45" s="48" t="n"/>
      <c r="C45" s="48" t="n"/>
      <c r="D45" s="48" t="n"/>
      <c r="E45" s="48" t="n"/>
      <c r="F45" s="49" t="n"/>
      <c r="G45" s="49" t="n"/>
      <c r="H45" s="49" t="n"/>
      <c r="I45" s="49" t="n"/>
      <c r="J45" s="49" t="n"/>
      <c r="K45" s="49" t="n"/>
      <c r="L45" s="49" t="n"/>
      <c r="M45" s="49" t="n"/>
      <c r="N45" s="49" t="n"/>
      <c r="O45" s="49" t="n"/>
      <c r="P45" s="50" t="n"/>
      <c r="Q45" s="51" t="str">
        <f>IF(AND(ISNUMBER($F45),$F45&gt;0,ISNUMBER($G45)),$G45/$F45,"")</f>
        <v/>
      </c>
      <c r="R45" s="51" t="str">
        <f>IF(AND(ISNUMBER($F45),$F45&gt;0,ISNUMBER($H45)),$H45/$F45,"")</f>
        <v/>
      </c>
      <c r="S45" s="52" t="str">
        <f>IF(AND(ISNUMBER($J45),ISNUMBER($L45)),IF($L45&gt;0,$J45/$L45,""),"")</f>
        <v/>
      </c>
      <c r="T45" s="53" t="str">
        <f>IF(ISNUMBER($A45),YEAR($A45)&amp;"-"&amp;TEXT(MONTH($A45),"00"),"")</f>
        <v/>
      </c>
    </row>
    <row r="46">
      <c r="A46" s="47" t="n"/>
      <c r="B46" s="48" t="n"/>
      <c r="C46" s="48" t="n"/>
      <c r="D46" s="48" t="n"/>
      <c r="E46" s="48" t="n"/>
      <c r="F46" s="49" t="n"/>
      <c r="G46" s="49" t="n"/>
      <c r="H46" s="49" t="n"/>
      <c r="I46" s="49" t="n"/>
      <c r="J46" s="49" t="n"/>
      <c r="K46" s="49" t="n"/>
      <c r="L46" s="49" t="n"/>
      <c r="M46" s="49" t="n"/>
      <c r="N46" s="49" t="n"/>
      <c r="O46" s="49" t="n"/>
      <c r="P46" s="50" t="n"/>
      <c r="Q46" s="51" t="str">
        <f>IF(AND(ISNUMBER($F46),$F46&gt;0,ISNUMBER($G46)),$G46/$F46,"")</f>
        <v/>
      </c>
      <c r="R46" s="51" t="str">
        <f>IF(AND(ISNUMBER($F46),$F46&gt;0,ISNUMBER($H46)),$H46/$F46,"")</f>
        <v/>
      </c>
      <c r="S46" s="52" t="str">
        <f>IF(AND(ISNUMBER($J46),ISNUMBER($L46)),IF($L46&gt;0,$J46/$L46,""),"")</f>
        <v/>
      </c>
      <c r="T46" s="53" t="str">
        <f>IF(ISNUMBER($A46),YEAR($A46)&amp;"-"&amp;TEXT(MONTH($A46),"00"),"")</f>
        <v/>
      </c>
    </row>
    <row r="47">
      <c r="A47" s="47" t="n"/>
      <c r="B47" s="48" t="n"/>
      <c r="C47" s="48" t="n"/>
      <c r="D47" s="48" t="n"/>
      <c r="E47" s="48" t="n"/>
      <c r="F47" s="49" t="n"/>
      <c r="G47" s="49" t="n"/>
      <c r="H47" s="49" t="n"/>
      <c r="I47" s="49" t="n"/>
      <c r="J47" s="49" t="n"/>
      <c r="K47" s="49" t="n"/>
      <c r="L47" s="49" t="n"/>
      <c r="M47" s="49" t="n"/>
      <c r="N47" s="49" t="n"/>
      <c r="O47" s="49" t="n"/>
      <c r="P47" s="50" t="n"/>
      <c r="Q47" s="51" t="str">
        <f>IF(AND(ISNUMBER($F47),$F47&gt;0,ISNUMBER($G47)),$G47/$F47,"")</f>
        <v/>
      </c>
      <c r="R47" s="51" t="str">
        <f>IF(AND(ISNUMBER($F47),$F47&gt;0,ISNUMBER($H47)),$H47/$F47,"")</f>
        <v/>
      </c>
      <c r="S47" s="52" t="str">
        <f>IF(AND(ISNUMBER($J47),ISNUMBER($L47)),IF($L47&gt;0,$J47/$L47,""),"")</f>
        <v/>
      </c>
      <c r="T47" s="53" t="str">
        <f>IF(ISNUMBER($A47),YEAR($A47)&amp;"-"&amp;TEXT(MONTH($A47),"00"),"")</f>
        <v/>
      </c>
    </row>
    <row r="48">
      <c r="A48" s="47" t="n"/>
      <c r="B48" s="48" t="n"/>
      <c r="C48" s="48" t="n"/>
      <c r="D48" s="48" t="n"/>
      <c r="E48" s="48" t="n"/>
      <c r="F48" s="49" t="n"/>
      <c r="G48" s="49" t="n"/>
      <c r="H48" s="49" t="n"/>
      <c r="I48" s="49" t="n"/>
      <c r="J48" s="49" t="n"/>
      <c r="K48" s="49" t="n"/>
      <c r="L48" s="49" t="n"/>
      <c r="M48" s="49" t="n"/>
      <c r="N48" s="49" t="n"/>
      <c r="O48" s="49" t="n"/>
      <c r="P48" s="50" t="n"/>
      <c r="Q48" s="51" t="str">
        <f>IF(AND(ISNUMBER($F48),$F48&gt;0,ISNUMBER($G48)),$G48/$F48,"")</f>
        <v/>
      </c>
      <c r="R48" s="51" t="str">
        <f>IF(AND(ISNUMBER($F48),$F48&gt;0,ISNUMBER($H48)),$H48/$F48,"")</f>
        <v/>
      </c>
      <c r="S48" s="52" t="str">
        <f>IF(AND(ISNUMBER($J48),ISNUMBER($L48)),IF($L48&gt;0,$J48/$L48,""),"")</f>
        <v/>
      </c>
      <c r="T48" s="53" t="str">
        <f>IF(ISNUMBER($A48),YEAR($A48)&amp;"-"&amp;TEXT(MONTH($A48),"00"),"")</f>
        <v/>
      </c>
    </row>
    <row r="49">
      <c r="A49" s="47" t="n"/>
      <c r="B49" s="48" t="n"/>
      <c r="C49" s="48" t="n"/>
      <c r="D49" s="48" t="n"/>
      <c r="E49" s="48" t="n"/>
      <c r="F49" s="49" t="n"/>
      <c r="G49" s="49" t="n"/>
      <c r="H49" s="49" t="n"/>
      <c r="I49" s="49" t="n"/>
      <c r="J49" s="49" t="n"/>
      <c r="K49" s="49" t="n"/>
      <c r="L49" s="49" t="n"/>
      <c r="M49" s="49" t="n"/>
      <c r="N49" s="49" t="n"/>
      <c r="O49" s="49" t="n"/>
      <c r="P49" s="50" t="n"/>
      <c r="Q49" s="51" t="str">
        <f>IF(AND(ISNUMBER($F49),$F49&gt;0,ISNUMBER($G49)),$G49/$F49,"")</f>
        <v/>
      </c>
      <c r="R49" s="51" t="str">
        <f>IF(AND(ISNUMBER($F49),$F49&gt;0,ISNUMBER($H49)),$H49/$F49,"")</f>
        <v/>
      </c>
      <c r="S49" s="52" t="str">
        <f>IF(AND(ISNUMBER($J49),ISNUMBER($L49)),IF($L49&gt;0,$J49/$L49,""),"")</f>
        <v/>
      </c>
      <c r="T49" s="53" t="str">
        <f>IF(ISNUMBER($A49),YEAR($A49)&amp;"-"&amp;TEXT(MONTH($A49),"00"),"")</f>
        <v/>
      </c>
    </row>
    <row r="50">
      <c r="A50" s="47" t="n"/>
      <c r="B50" s="48" t="n"/>
      <c r="C50" s="48" t="n"/>
      <c r="D50" s="48" t="n"/>
      <c r="E50" s="48" t="n"/>
      <c r="F50" s="49" t="n"/>
      <c r="G50" s="49" t="n"/>
      <c r="H50" s="49" t="n"/>
      <c r="I50" s="49" t="n"/>
      <c r="J50" s="49" t="n"/>
      <c r="K50" s="49" t="n"/>
      <c r="L50" s="49" t="n"/>
      <c r="M50" s="49" t="n"/>
      <c r="N50" s="49" t="n"/>
      <c r="O50" s="49" t="n"/>
      <c r="P50" s="50" t="n"/>
      <c r="Q50" s="51" t="str">
        <f>IF(AND(ISNUMBER($F50),$F50&gt;0,ISNUMBER($G50)),$G50/$F50,"")</f>
        <v/>
      </c>
      <c r="R50" s="51" t="str">
        <f>IF(AND(ISNUMBER($F50),$F50&gt;0,ISNUMBER($H50)),$H50/$F50,"")</f>
        <v/>
      </c>
      <c r="S50" s="52" t="str">
        <f>IF(AND(ISNUMBER($J50),ISNUMBER($L50)),IF($L50&gt;0,$J50/$L50,""),"")</f>
        <v/>
      </c>
      <c r="T50" s="53" t="str">
        <f>IF(ISNUMBER($A50),YEAR($A50)&amp;"-"&amp;TEXT(MONTH($A50),"00"),"")</f>
        <v/>
      </c>
    </row>
    <row r="51">
      <c r="A51" s="47" t="n"/>
      <c r="B51" s="48" t="n"/>
      <c r="C51" s="48" t="n"/>
      <c r="D51" s="48" t="n"/>
      <c r="E51" s="48" t="n"/>
      <c r="F51" s="49" t="n"/>
      <c r="G51" s="49" t="n"/>
      <c r="H51" s="49" t="n"/>
      <c r="I51" s="49" t="n"/>
      <c r="J51" s="49" t="n"/>
      <c r="K51" s="49" t="n"/>
      <c r="L51" s="49" t="n"/>
      <c r="M51" s="49" t="n"/>
      <c r="N51" s="49" t="n"/>
      <c r="O51" s="49" t="n"/>
      <c r="P51" s="50" t="n"/>
      <c r="Q51" s="51" t="str">
        <f>IF(AND(ISNUMBER($F51),$F51&gt;0,ISNUMBER($G51)),$G51/$F51,"")</f>
        <v/>
      </c>
      <c r="R51" s="51" t="str">
        <f>IF(AND(ISNUMBER($F51),$F51&gt;0,ISNUMBER($H51)),$H51/$F51,"")</f>
        <v/>
      </c>
      <c r="S51" s="52" t="str">
        <f>IF(AND(ISNUMBER($J51),ISNUMBER($L51)),IF($L51&gt;0,$J51/$L51,""),"")</f>
        <v/>
      </c>
      <c r="T51" s="53" t="str">
        <f>IF(ISNUMBER($A51),YEAR($A51)&amp;"-"&amp;TEXT(MONTH($A51),"00"),"")</f>
        <v/>
      </c>
    </row>
    <row r="52">
      <c r="A52" s="47" t="n"/>
      <c r="B52" s="48" t="n"/>
      <c r="C52" s="48" t="n"/>
      <c r="D52" s="48" t="n"/>
      <c r="E52" s="48" t="n"/>
      <c r="F52" s="49" t="n"/>
      <c r="G52" s="49" t="n"/>
      <c r="H52" s="49" t="n"/>
      <c r="I52" s="49" t="n"/>
      <c r="J52" s="49" t="n"/>
      <c r="K52" s="49" t="n"/>
      <c r="L52" s="49" t="n"/>
      <c r="M52" s="49" t="n"/>
      <c r="N52" s="49" t="n"/>
      <c r="O52" s="49" t="n"/>
      <c r="P52" s="50" t="n"/>
      <c r="Q52" s="51" t="str">
        <f>IF(AND(ISNUMBER($F52),$F52&gt;0,ISNUMBER($G52)),$G52/$F52,"")</f>
        <v/>
      </c>
      <c r="R52" s="51" t="str">
        <f>IF(AND(ISNUMBER($F52),$F52&gt;0,ISNUMBER($H52)),$H52/$F52,"")</f>
        <v/>
      </c>
      <c r="S52" s="52" t="str">
        <f>IF(AND(ISNUMBER($J52),ISNUMBER($L52)),IF($L52&gt;0,$J52/$L52,""),"")</f>
        <v/>
      </c>
      <c r="T52" s="53" t="str">
        <f>IF(ISNUMBER($A52),YEAR($A52)&amp;"-"&amp;TEXT(MONTH($A52),"00"),"")</f>
        <v/>
      </c>
    </row>
    <row r="53">
      <c r="A53" s="47" t="n"/>
      <c r="B53" s="48" t="n"/>
      <c r="C53" s="48" t="n"/>
      <c r="D53" s="48" t="n"/>
      <c r="E53" s="48" t="n"/>
      <c r="F53" s="49" t="n"/>
      <c r="G53" s="49" t="n"/>
      <c r="H53" s="49" t="n"/>
      <c r="I53" s="49" t="n"/>
      <c r="J53" s="49" t="n"/>
      <c r="K53" s="49" t="n"/>
      <c r="L53" s="49" t="n"/>
      <c r="M53" s="49" t="n"/>
      <c r="N53" s="49" t="n"/>
      <c r="O53" s="49" t="n"/>
      <c r="P53" s="50" t="n"/>
      <c r="Q53" s="51" t="str">
        <f>IF(AND(ISNUMBER($F53),$F53&gt;0,ISNUMBER($G53)),$G53/$F53,"")</f>
        <v/>
      </c>
      <c r="R53" s="51" t="str">
        <f>IF(AND(ISNUMBER($F53),$F53&gt;0,ISNUMBER($H53)),$H53/$F53,"")</f>
        <v/>
      </c>
      <c r="S53" s="52" t="str">
        <f>IF(AND(ISNUMBER($J53),ISNUMBER($L53)),IF($L53&gt;0,$J53/$L53,""),"")</f>
        <v/>
      </c>
      <c r="T53" s="53" t="str">
        <f>IF(ISNUMBER($A53),YEAR($A53)&amp;"-"&amp;TEXT(MONTH($A53),"00"),"")</f>
        <v/>
      </c>
    </row>
    <row r="54">
      <c r="A54" s="47" t="n"/>
      <c r="B54" s="48" t="n"/>
      <c r="C54" s="48" t="n"/>
      <c r="D54" s="48" t="n"/>
      <c r="E54" s="48" t="n"/>
      <c r="F54" s="49" t="n"/>
      <c r="G54" s="49" t="n"/>
      <c r="H54" s="49" t="n"/>
      <c r="I54" s="49" t="n"/>
      <c r="J54" s="49" t="n"/>
      <c r="K54" s="49" t="n"/>
      <c r="L54" s="49" t="n"/>
      <c r="M54" s="49" t="n"/>
      <c r="N54" s="49" t="n"/>
      <c r="O54" s="49" t="n"/>
      <c r="P54" s="50" t="n"/>
      <c r="Q54" s="51" t="str">
        <f>IF(AND(ISNUMBER($F54),$F54&gt;0,ISNUMBER($G54)),$G54/$F54,"")</f>
        <v/>
      </c>
      <c r="R54" s="51" t="str">
        <f>IF(AND(ISNUMBER($F54),$F54&gt;0,ISNUMBER($H54)),$H54/$F54,"")</f>
        <v/>
      </c>
      <c r="S54" s="52" t="str">
        <f>IF(AND(ISNUMBER($J54),ISNUMBER($L54)),IF($L54&gt;0,$J54/$L54,""),"")</f>
        <v/>
      </c>
      <c r="T54" s="53" t="str">
        <f>IF(ISNUMBER($A54),YEAR($A54)&amp;"-"&amp;TEXT(MONTH($A54),"00"),"")</f>
        <v/>
      </c>
    </row>
    <row r="55">
      <c r="A55" s="47" t="n"/>
      <c r="B55" s="48" t="n"/>
      <c r="C55" s="48" t="n"/>
      <c r="D55" s="48" t="n"/>
      <c r="E55" s="48" t="n"/>
      <c r="F55" s="49" t="n"/>
      <c r="G55" s="49" t="n"/>
      <c r="H55" s="49" t="n"/>
      <c r="I55" s="49" t="n"/>
      <c r="J55" s="49" t="n"/>
      <c r="K55" s="49" t="n"/>
      <c r="L55" s="49" t="n"/>
      <c r="M55" s="49" t="n"/>
      <c r="N55" s="49" t="n"/>
      <c r="O55" s="49" t="n"/>
      <c r="P55" s="50" t="n"/>
      <c r="Q55" s="51" t="str">
        <f>IF(AND(ISNUMBER($F55),$F55&gt;0,ISNUMBER($G55)),$G55/$F55,"")</f>
        <v/>
      </c>
      <c r="R55" s="51" t="str">
        <f>IF(AND(ISNUMBER($F55),$F55&gt;0,ISNUMBER($H55)),$H55/$F55,"")</f>
        <v/>
      </c>
      <c r="S55" s="52" t="str">
        <f>IF(AND(ISNUMBER($J55),ISNUMBER($L55)),IF($L55&gt;0,$J55/$L55,""),"")</f>
        <v/>
      </c>
      <c r="T55" s="53" t="str">
        <f>IF(ISNUMBER($A55),YEAR($A55)&amp;"-"&amp;TEXT(MONTH($A55),"00"),"")</f>
        <v/>
      </c>
    </row>
    <row r="56">
      <c r="A56" s="47" t="n"/>
      <c r="B56" s="48" t="n"/>
      <c r="C56" s="48" t="n"/>
      <c r="D56" s="48" t="n"/>
      <c r="E56" s="48" t="n"/>
      <c r="F56" s="49" t="n"/>
      <c r="G56" s="49" t="n"/>
      <c r="H56" s="49" t="n"/>
      <c r="I56" s="49" t="n"/>
      <c r="J56" s="49" t="n"/>
      <c r="K56" s="49" t="n"/>
      <c r="L56" s="49" t="n"/>
      <c r="M56" s="49" t="n"/>
      <c r="N56" s="49" t="n"/>
      <c r="O56" s="49" t="n"/>
      <c r="P56" s="50" t="n"/>
      <c r="Q56" s="51" t="str">
        <f>IF(AND(ISNUMBER($F56),$F56&gt;0,ISNUMBER($G56)),$G56/$F56,"")</f>
        <v/>
      </c>
      <c r="R56" s="51" t="str">
        <f>IF(AND(ISNUMBER($F56),$F56&gt;0,ISNUMBER($H56)),$H56/$F56,"")</f>
        <v/>
      </c>
      <c r="S56" s="52" t="str">
        <f>IF(AND(ISNUMBER($J56),ISNUMBER($L56)),IF($L56&gt;0,$J56/$L56,""),"")</f>
        <v/>
      </c>
      <c r="T56" s="53" t="str">
        <f>IF(ISNUMBER($A56),YEAR($A56)&amp;"-"&amp;TEXT(MONTH($A56),"00"),"")</f>
        <v/>
      </c>
    </row>
    <row r="57">
      <c r="A57" s="47" t="n"/>
      <c r="B57" s="48" t="n"/>
      <c r="C57" s="48" t="n"/>
      <c r="D57" s="48" t="n"/>
      <c r="E57" s="48" t="n"/>
      <c r="F57" s="49" t="n"/>
      <c r="G57" s="49" t="n"/>
      <c r="H57" s="49" t="n"/>
      <c r="I57" s="49" t="n"/>
      <c r="J57" s="49" t="n"/>
      <c r="K57" s="49" t="n"/>
      <c r="L57" s="49" t="n"/>
      <c r="M57" s="49" t="n"/>
      <c r="N57" s="49" t="n"/>
      <c r="O57" s="49" t="n"/>
      <c r="P57" s="50" t="n"/>
      <c r="Q57" s="51" t="str">
        <f>IF(AND(ISNUMBER($F57),$F57&gt;0,ISNUMBER($G57)),$G57/$F57,"")</f>
        <v/>
      </c>
      <c r="R57" s="51" t="str">
        <f>IF(AND(ISNUMBER($F57),$F57&gt;0,ISNUMBER($H57)),$H57/$F57,"")</f>
        <v/>
      </c>
      <c r="S57" s="52" t="str">
        <f>IF(AND(ISNUMBER($J57),ISNUMBER($L57)),IF($L57&gt;0,$J57/$L57,""),"")</f>
        <v/>
      </c>
      <c r="T57" s="53" t="str">
        <f>IF(ISNUMBER($A57),YEAR($A57)&amp;"-"&amp;TEXT(MONTH($A57),"00"),"")</f>
        <v/>
      </c>
    </row>
    <row r="58">
      <c r="A58" s="47" t="n"/>
      <c r="B58" s="48" t="n"/>
      <c r="C58" s="48" t="n"/>
      <c r="D58" s="48" t="n"/>
      <c r="E58" s="48" t="n"/>
      <c r="F58" s="49" t="n"/>
      <c r="G58" s="49" t="n"/>
      <c r="H58" s="49" t="n"/>
      <c r="I58" s="49" t="n"/>
      <c r="J58" s="49" t="n"/>
      <c r="K58" s="49" t="n"/>
      <c r="L58" s="49" t="n"/>
      <c r="M58" s="49" t="n"/>
      <c r="N58" s="49" t="n"/>
      <c r="O58" s="49" t="n"/>
      <c r="P58" s="50" t="n"/>
      <c r="Q58" s="51" t="str">
        <f>IF(AND(ISNUMBER($F58),$F58&gt;0,ISNUMBER($G58)),$G58/$F58,"")</f>
        <v/>
      </c>
      <c r="R58" s="51" t="str">
        <f>IF(AND(ISNUMBER($F58),$F58&gt;0,ISNUMBER($H58)),$H58/$F58,"")</f>
        <v/>
      </c>
      <c r="S58" s="52" t="str">
        <f>IF(AND(ISNUMBER($J58),ISNUMBER($L58)),IF($L58&gt;0,$J58/$L58,""),"")</f>
        <v/>
      </c>
      <c r="T58" s="53" t="str">
        <f>IF(ISNUMBER($A58),YEAR($A58)&amp;"-"&amp;TEXT(MONTH($A58),"00"),"")</f>
        <v/>
      </c>
    </row>
    <row r="59">
      <c r="A59" s="47" t="n"/>
      <c r="B59" s="48" t="n"/>
      <c r="C59" s="48" t="n"/>
      <c r="D59" s="48" t="n"/>
      <c r="E59" s="48" t="n"/>
      <c r="F59" s="49" t="n"/>
      <c r="G59" s="49" t="n"/>
      <c r="H59" s="49" t="n"/>
      <c r="I59" s="49" t="n"/>
      <c r="J59" s="49" t="n"/>
      <c r="K59" s="49" t="n"/>
      <c r="L59" s="49" t="n"/>
      <c r="M59" s="49" t="n"/>
      <c r="N59" s="49" t="n"/>
      <c r="O59" s="49" t="n"/>
      <c r="P59" s="50" t="n"/>
      <c r="Q59" s="51" t="str">
        <f>IF(AND(ISNUMBER($F59),$F59&gt;0,ISNUMBER($G59)),$G59/$F59,"")</f>
        <v/>
      </c>
      <c r="R59" s="51" t="str">
        <f>IF(AND(ISNUMBER($F59),$F59&gt;0,ISNUMBER($H59)),$H59/$F59,"")</f>
        <v/>
      </c>
      <c r="S59" s="52" t="str">
        <f>IF(AND(ISNUMBER($J59),ISNUMBER($L59)),IF($L59&gt;0,$J59/$L59,""),"")</f>
        <v/>
      </c>
      <c r="T59" s="53" t="str">
        <f>IF(ISNUMBER($A59),YEAR($A59)&amp;"-"&amp;TEXT(MONTH($A59),"00"),"")</f>
        <v/>
      </c>
    </row>
    <row r="60">
      <c r="A60" s="47" t="n"/>
      <c r="B60" s="48" t="n"/>
      <c r="C60" s="48" t="n"/>
      <c r="D60" s="48" t="n"/>
      <c r="E60" s="48" t="n"/>
      <c r="F60" s="49" t="n"/>
      <c r="G60" s="49" t="n"/>
      <c r="H60" s="49" t="n"/>
      <c r="I60" s="49" t="n"/>
      <c r="J60" s="49" t="n"/>
      <c r="K60" s="49" t="n"/>
      <c r="L60" s="49" t="n"/>
      <c r="M60" s="49" t="n"/>
      <c r="N60" s="49" t="n"/>
      <c r="O60" s="49" t="n"/>
      <c r="P60" s="50" t="n"/>
      <c r="Q60" s="51" t="str">
        <f>IF(AND(ISNUMBER($F60),$F60&gt;0,ISNUMBER($G60)),$G60/$F60,"")</f>
        <v/>
      </c>
      <c r="R60" s="51" t="str">
        <f>IF(AND(ISNUMBER($F60),$F60&gt;0,ISNUMBER($H60)),$H60/$F60,"")</f>
        <v/>
      </c>
      <c r="S60" s="52" t="str">
        <f>IF(AND(ISNUMBER($J60),ISNUMBER($L60)),IF($L60&gt;0,$J60/$L60,""),"")</f>
        <v/>
      </c>
      <c r="T60" s="53" t="str">
        <f>IF(ISNUMBER($A60),YEAR($A60)&amp;"-"&amp;TEXT(MONTH($A60),"00"),"")</f>
        <v/>
      </c>
    </row>
    <row r="61">
      <c r="A61" s="47" t="n"/>
      <c r="B61" s="48" t="n"/>
      <c r="C61" s="48" t="n"/>
      <c r="D61" s="48" t="n"/>
      <c r="E61" s="48" t="n"/>
      <c r="F61" s="49" t="n"/>
      <c r="G61" s="49" t="n"/>
      <c r="H61" s="49" t="n"/>
      <c r="I61" s="49" t="n"/>
      <c r="J61" s="49" t="n"/>
      <c r="K61" s="49" t="n"/>
      <c r="L61" s="49" t="n"/>
      <c r="M61" s="49" t="n"/>
      <c r="N61" s="49" t="n"/>
      <c r="O61" s="49" t="n"/>
      <c r="P61" s="50" t="n"/>
      <c r="Q61" s="51" t="str">
        <f>IF(AND(ISNUMBER($F61),$F61&gt;0,ISNUMBER($G61)),$G61/$F61,"")</f>
        <v/>
      </c>
      <c r="R61" s="51" t="str">
        <f>IF(AND(ISNUMBER($F61),$F61&gt;0,ISNUMBER($H61)),$H61/$F61,"")</f>
        <v/>
      </c>
      <c r="S61" s="52" t="str">
        <f>IF(AND(ISNUMBER($J61),ISNUMBER($L61)),IF($L61&gt;0,$J61/$L61,""),"")</f>
        <v/>
      </c>
      <c r="T61" s="53" t="str">
        <f>IF(ISNUMBER($A61),YEAR($A61)&amp;"-"&amp;TEXT(MONTH($A61),"00"),"")</f>
        <v/>
      </c>
    </row>
    <row r="62">
      <c r="A62" s="47" t="n"/>
      <c r="B62" s="48" t="n"/>
      <c r="C62" s="48" t="n"/>
      <c r="D62" s="48" t="n"/>
      <c r="E62" s="48" t="n"/>
      <c r="F62" s="49" t="n"/>
      <c r="G62" s="49" t="n"/>
      <c r="H62" s="49" t="n"/>
      <c r="I62" s="49" t="n"/>
      <c r="J62" s="49" t="n"/>
      <c r="K62" s="49" t="n"/>
      <c r="L62" s="49" t="n"/>
      <c r="M62" s="49" t="n"/>
      <c r="N62" s="49" t="n"/>
      <c r="O62" s="49" t="n"/>
      <c r="P62" s="50" t="n"/>
      <c r="Q62" s="51" t="str">
        <f>IF(AND(ISNUMBER($F62),$F62&gt;0,ISNUMBER($G62)),$G62/$F62,"")</f>
        <v/>
      </c>
      <c r="R62" s="51" t="str">
        <f>IF(AND(ISNUMBER($F62),$F62&gt;0,ISNUMBER($H62)),$H62/$F62,"")</f>
        <v/>
      </c>
      <c r="S62" s="52" t="str">
        <f>IF(AND(ISNUMBER($J62),ISNUMBER($L62)),IF($L62&gt;0,$J62/$L62,""),"")</f>
        <v/>
      </c>
      <c r="T62" s="53" t="str">
        <f>IF(ISNUMBER($A62),YEAR($A62)&amp;"-"&amp;TEXT(MONTH($A62),"00"),"")</f>
        <v/>
      </c>
    </row>
    <row r="63">
      <c r="A63" s="47" t="n"/>
      <c r="B63" s="48" t="n"/>
      <c r="C63" s="48" t="n"/>
      <c r="D63" s="48" t="n"/>
      <c r="E63" s="48" t="n"/>
      <c r="F63" s="49" t="n"/>
      <c r="G63" s="49" t="n"/>
      <c r="H63" s="49" t="n"/>
      <c r="I63" s="49" t="n"/>
      <c r="J63" s="49" t="n"/>
      <c r="K63" s="49" t="n"/>
      <c r="L63" s="49" t="n"/>
      <c r="M63" s="49" t="n"/>
      <c r="N63" s="49" t="n"/>
      <c r="O63" s="49" t="n"/>
      <c r="P63" s="50" t="n"/>
      <c r="Q63" s="51" t="str">
        <f>IF(AND(ISNUMBER($F63),$F63&gt;0,ISNUMBER($G63)),$G63/$F63,"")</f>
        <v/>
      </c>
      <c r="R63" s="51" t="str">
        <f>IF(AND(ISNUMBER($F63),$F63&gt;0,ISNUMBER($H63)),$H63/$F63,"")</f>
        <v/>
      </c>
      <c r="S63" s="52" t="str">
        <f>IF(AND(ISNUMBER($J63),ISNUMBER($L63)),IF($L63&gt;0,$J63/$L63,""),"")</f>
        <v/>
      </c>
      <c r="T63" s="53" t="str">
        <f>IF(ISNUMBER($A63),YEAR($A63)&amp;"-"&amp;TEXT(MONTH($A63),"00"),"")</f>
        <v/>
      </c>
    </row>
    <row r="64">
      <c r="A64" s="47" t="n"/>
      <c r="B64" s="48" t="n"/>
      <c r="C64" s="48" t="n"/>
      <c r="D64" s="48" t="n"/>
      <c r="E64" s="48" t="n"/>
      <c r="F64" s="49" t="n"/>
      <c r="G64" s="49" t="n"/>
      <c r="H64" s="49" t="n"/>
      <c r="I64" s="49" t="n"/>
      <c r="J64" s="49" t="n"/>
      <c r="K64" s="49" t="n"/>
      <c r="L64" s="49" t="n"/>
      <c r="M64" s="49" t="n"/>
      <c r="N64" s="49" t="n"/>
      <c r="O64" s="49" t="n"/>
      <c r="P64" s="50" t="n"/>
      <c r="Q64" s="51" t="str">
        <f>IF(AND(ISNUMBER($F64),$F64&gt;0,ISNUMBER($G64)),$G64/$F64,"")</f>
        <v/>
      </c>
      <c r="R64" s="51" t="str">
        <f>IF(AND(ISNUMBER($F64),$F64&gt;0,ISNUMBER($H64)),$H64/$F64,"")</f>
        <v/>
      </c>
      <c r="S64" s="52" t="str">
        <f>IF(AND(ISNUMBER($J64),ISNUMBER($L64)),IF($L64&gt;0,$J64/$L64,""),"")</f>
        <v/>
      </c>
      <c r="T64" s="53" t="str">
        <f>IF(ISNUMBER($A64),YEAR($A64)&amp;"-"&amp;TEXT(MONTH($A64),"00"),"")</f>
        <v/>
      </c>
    </row>
    <row r="65">
      <c r="A65" s="47" t="n"/>
      <c r="B65" s="48" t="n"/>
      <c r="C65" s="48" t="n"/>
      <c r="D65" s="48" t="n"/>
      <c r="E65" s="48" t="n"/>
      <c r="F65" s="49" t="n"/>
      <c r="G65" s="49" t="n"/>
      <c r="H65" s="49" t="n"/>
      <c r="I65" s="49" t="n"/>
      <c r="J65" s="49" t="n"/>
      <c r="K65" s="49" t="n"/>
      <c r="L65" s="49" t="n"/>
      <c r="M65" s="49" t="n"/>
      <c r="N65" s="49" t="n"/>
      <c r="O65" s="49" t="n"/>
      <c r="P65" s="50" t="n"/>
      <c r="Q65" s="51" t="str">
        <f>IF(AND(ISNUMBER($F65),$F65&gt;0,ISNUMBER($G65)),$G65/$F65,"")</f>
        <v/>
      </c>
      <c r="R65" s="51" t="str">
        <f>IF(AND(ISNUMBER($F65),$F65&gt;0,ISNUMBER($H65)),$H65/$F65,"")</f>
        <v/>
      </c>
      <c r="S65" s="52" t="str">
        <f>IF(AND(ISNUMBER($J65),ISNUMBER($L65)),IF($L65&gt;0,$J65/$L65,""),"")</f>
        <v/>
      </c>
      <c r="T65" s="53" t="str">
        <f>IF(ISNUMBER($A65),YEAR($A65)&amp;"-"&amp;TEXT(MONTH($A65),"00"),"")</f>
        <v/>
      </c>
    </row>
    <row r="66">
      <c r="A66" s="47" t="n"/>
      <c r="B66" s="48" t="n"/>
      <c r="C66" s="48" t="n"/>
      <c r="D66" s="48" t="n"/>
      <c r="E66" s="48" t="n"/>
      <c r="F66" s="49" t="n"/>
      <c r="G66" s="49" t="n"/>
      <c r="H66" s="49" t="n"/>
      <c r="I66" s="49" t="n"/>
      <c r="J66" s="49" t="n"/>
      <c r="K66" s="49" t="n"/>
      <c r="L66" s="49" t="n"/>
      <c r="M66" s="49" t="n"/>
      <c r="N66" s="49" t="n"/>
      <c r="O66" s="49" t="n"/>
      <c r="P66" s="50" t="n"/>
      <c r="Q66" s="51" t="str">
        <f>IF(AND(ISNUMBER($F66),$F66&gt;0,ISNUMBER($G66)),$G66/$F66,"")</f>
        <v/>
      </c>
      <c r="R66" s="51" t="str">
        <f>IF(AND(ISNUMBER($F66),$F66&gt;0,ISNUMBER($H66)),$H66/$F66,"")</f>
        <v/>
      </c>
      <c r="S66" s="52" t="str">
        <f>IF(AND(ISNUMBER($J66),ISNUMBER($L66)),IF($L66&gt;0,$J66/$L66,""),"")</f>
        <v/>
      </c>
      <c r="T66" s="53" t="str">
        <f>IF(ISNUMBER($A66),YEAR($A66)&amp;"-"&amp;TEXT(MONTH($A66),"00"),"")</f>
        <v/>
      </c>
    </row>
    <row r="67">
      <c r="A67" s="47" t="n"/>
      <c r="B67" s="48" t="n"/>
      <c r="C67" s="48" t="n"/>
      <c r="D67" s="48" t="n"/>
      <c r="E67" s="48" t="n"/>
      <c r="F67" s="49" t="n"/>
      <c r="G67" s="49" t="n"/>
      <c r="H67" s="49" t="n"/>
      <c r="I67" s="49" t="n"/>
      <c r="J67" s="49" t="n"/>
      <c r="K67" s="49" t="n"/>
      <c r="L67" s="49" t="n"/>
      <c r="M67" s="49" t="n"/>
      <c r="N67" s="49" t="n"/>
      <c r="O67" s="49" t="n"/>
      <c r="P67" s="50" t="n"/>
      <c r="Q67" s="51" t="str">
        <f>IF(AND(ISNUMBER($F67),$F67&gt;0,ISNUMBER($G67)),$G67/$F67,"")</f>
        <v/>
      </c>
      <c r="R67" s="51" t="str">
        <f>IF(AND(ISNUMBER($F67),$F67&gt;0,ISNUMBER($H67)),$H67/$F67,"")</f>
        <v/>
      </c>
      <c r="S67" s="52" t="str">
        <f>IF(AND(ISNUMBER($J67),ISNUMBER($L67)),IF($L67&gt;0,$J67/$L67,""),"")</f>
        <v/>
      </c>
      <c r="T67" s="53" t="str">
        <f>IF(ISNUMBER($A67),YEAR($A67)&amp;"-"&amp;TEXT(MONTH($A67),"00"),"")</f>
        <v/>
      </c>
    </row>
    <row r="68">
      <c r="A68" s="47" t="n"/>
      <c r="B68" s="48" t="n"/>
      <c r="C68" s="48" t="n"/>
      <c r="D68" s="48" t="n"/>
      <c r="E68" s="48" t="n"/>
      <c r="F68" s="49" t="n"/>
      <c r="G68" s="49" t="n"/>
      <c r="H68" s="49" t="n"/>
      <c r="I68" s="49" t="n"/>
      <c r="J68" s="49" t="n"/>
      <c r="K68" s="49" t="n"/>
      <c r="L68" s="49" t="n"/>
      <c r="M68" s="49" t="n"/>
      <c r="N68" s="49" t="n"/>
      <c r="O68" s="49" t="n"/>
      <c r="P68" s="50" t="n"/>
      <c r="Q68" s="51" t="str">
        <f>IF(AND(ISNUMBER($F68),$F68&gt;0,ISNUMBER($G68)),$G68/$F68,"")</f>
        <v/>
      </c>
      <c r="R68" s="51" t="str">
        <f>IF(AND(ISNUMBER($F68),$F68&gt;0,ISNUMBER($H68)),$H68/$F68,"")</f>
        <v/>
      </c>
      <c r="S68" s="52" t="str">
        <f>IF(AND(ISNUMBER($J68),ISNUMBER($L68)),IF($L68&gt;0,$J68/$L68,""),"")</f>
        <v/>
      </c>
      <c r="T68" s="53" t="str">
        <f>IF(ISNUMBER($A68),YEAR($A68)&amp;"-"&amp;TEXT(MONTH($A68),"00"),"")</f>
        <v/>
      </c>
    </row>
    <row r="69">
      <c r="A69" s="47" t="n"/>
      <c r="B69" s="48" t="n"/>
      <c r="C69" s="48" t="n"/>
      <c r="D69" s="48" t="n"/>
      <c r="E69" s="48" t="n"/>
      <c r="F69" s="49" t="n"/>
      <c r="G69" s="49" t="n"/>
      <c r="H69" s="49" t="n"/>
      <c r="I69" s="49" t="n"/>
      <c r="J69" s="49" t="n"/>
      <c r="K69" s="49" t="n"/>
      <c r="L69" s="49" t="n"/>
      <c r="M69" s="49" t="n"/>
      <c r="N69" s="49" t="n"/>
      <c r="O69" s="49" t="n"/>
      <c r="P69" s="50" t="n"/>
      <c r="Q69" s="51" t="str">
        <f>IF(AND(ISNUMBER($F69),$F69&gt;0,ISNUMBER($G69)),$G69/$F69,"")</f>
        <v/>
      </c>
      <c r="R69" s="51" t="str">
        <f>IF(AND(ISNUMBER($F69),$F69&gt;0,ISNUMBER($H69)),$H69/$F69,"")</f>
        <v/>
      </c>
      <c r="S69" s="52" t="str">
        <f>IF(AND(ISNUMBER($J69),ISNUMBER($L69)),IF($L69&gt;0,$J69/$L69,""),"")</f>
        <v/>
      </c>
      <c r="T69" s="53" t="str">
        <f>IF(ISNUMBER($A69),YEAR($A69)&amp;"-"&amp;TEXT(MONTH($A69),"00"),"")</f>
        <v/>
      </c>
    </row>
    <row r="70">
      <c r="A70" s="47" t="n"/>
      <c r="B70" s="48" t="n"/>
      <c r="C70" s="48" t="n"/>
      <c r="D70" s="48" t="n"/>
      <c r="E70" s="48" t="n"/>
      <c r="F70" s="49" t="n"/>
      <c r="G70" s="49" t="n"/>
      <c r="H70" s="49" t="n"/>
      <c r="I70" s="49" t="n"/>
      <c r="J70" s="49" t="n"/>
      <c r="K70" s="49" t="n"/>
      <c r="L70" s="49" t="n"/>
      <c r="M70" s="49" t="n"/>
      <c r="N70" s="49" t="n"/>
      <c r="O70" s="49" t="n"/>
      <c r="P70" s="50" t="n"/>
      <c r="Q70" s="51" t="str">
        <f>IF(AND(ISNUMBER($F70),$F70&gt;0,ISNUMBER($G70)),$G70/$F70,"")</f>
        <v/>
      </c>
      <c r="R70" s="51" t="str">
        <f>IF(AND(ISNUMBER($F70),$F70&gt;0,ISNUMBER($H70)),$H70/$F70,"")</f>
        <v/>
      </c>
      <c r="S70" s="52" t="str">
        <f>IF(AND(ISNUMBER($J70),ISNUMBER($L70)),IF($L70&gt;0,$J70/$L70,""),"")</f>
        <v/>
      </c>
      <c r="T70" s="53" t="str">
        <f>IF(ISNUMBER($A70),YEAR($A70)&amp;"-"&amp;TEXT(MONTH($A70),"00"),"")</f>
        <v/>
      </c>
    </row>
    <row r="71">
      <c r="A71" s="47" t="n"/>
      <c r="B71" s="48" t="n"/>
      <c r="C71" s="48" t="n"/>
      <c r="D71" s="48" t="n"/>
      <c r="E71" s="48" t="n"/>
      <c r="F71" s="49" t="n"/>
      <c r="G71" s="49" t="n"/>
      <c r="H71" s="49" t="n"/>
      <c r="I71" s="49" t="n"/>
      <c r="J71" s="49" t="n"/>
      <c r="K71" s="49" t="n"/>
      <c r="L71" s="49" t="n"/>
      <c r="M71" s="49" t="n"/>
      <c r="N71" s="49" t="n"/>
      <c r="O71" s="49" t="n"/>
      <c r="P71" s="50" t="n"/>
      <c r="Q71" s="51" t="str">
        <f>IF(AND(ISNUMBER($F71),$F71&gt;0,ISNUMBER($G71)),$G71/$F71,"")</f>
        <v/>
      </c>
      <c r="R71" s="51" t="str">
        <f>IF(AND(ISNUMBER($F71),$F71&gt;0,ISNUMBER($H71)),$H71/$F71,"")</f>
        <v/>
      </c>
      <c r="S71" s="52" t="str">
        <f>IF(AND(ISNUMBER($J71),ISNUMBER($L71)),IF($L71&gt;0,$J71/$L71,""),"")</f>
        <v/>
      </c>
      <c r="T71" s="53" t="str">
        <f>IF(ISNUMBER($A71),YEAR($A71)&amp;"-"&amp;TEXT(MONTH($A71),"00"),"")</f>
        <v/>
      </c>
    </row>
    <row r="72">
      <c r="A72" s="47" t="n"/>
      <c r="B72" s="48" t="n"/>
      <c r="C72" s="48" t="n"/>
      <c r="D72" s="48" t="n"/>
      <c r="E72" s="48" t="n"/>
      <c r="F72" s="49" t="n"/>
      <c r="G72" s="49" t="n"/>
      <c r="H72" s="49" t="n"/>
      <c r="I72" s="49" t="n"/>
      <c r="J72" s="49" t="n"/>
      <c r="K72" s="49" t="n"/>
      <c r="L72" s="49" t="n"/>
      <c r="M72" s="49" t="n"/>
      <c r="N72" s="49" t="n"/>
      <c r="O72" s="49" t="n"/>
      <c r="P72" s="50" t="n"/>
      <c r="Q72" s="51" t="str">
        <f>IF(AND(ISNUMBER($F72),$F72&gt;0,ISNUMBER($G72)),$G72/$F72,"")</f>
        <v/>
      </c>
      <c r="R72" s="51" t="str">
        <f>IF(AND(ISNUMBER($F72),$F72&gt;0,ISNUMBER($H72)),$H72/$F72,"")</f>
        <v/>
      </c>
      <c r="S72" s="52" t="str">
        <f>IF(AND(ISNUMBER($J72),ISNUMBER($L72)),IF($L72&gt;0,$J72/$L72,""),"")</f>
        <v/>
      </c>
      <c r="T72" s="53" t="str">
        <f>IF(ISNUMBER($A72),YEAR($A72)&amp;"-"&amp;TEXT(MONTH($A72),"00"),"")</f>
        <v/>
      </c>
    </row>
    <row r="73">
      <c r="A73" s="47" t="n"/>
      <c r="B73" s="48" t="n"/>
      <c r="C73" s="48" t="n"/>
      <c r="D73" s="48" t="n"/>
      <c r="E73" s="48" t="n"/>
      <c r="F73" s="49" t="n"/>
      <c r="G73" s="49" t="n"/>
      <c r="H73" s="49" t="n"/>
      <c r="I73" s="49" t="n"/>
      <c r="J73" s="49" t="n"/>
      <c r="K73" s="49" t="n"/>
      <c r="L73" s="49" t="n"/>
      <c r="M73" s="49" t="n"/>
      <c r="N73" s="49" t="n"/>
      <c r="O73" s="49" t="n"/>
      <c r="P73" s="50" t="n"/>
      <c r="Q73" s="51" t="str">
        <f>IF(AND(ISNUMBER($F73),$F73&gt;0,ISNUMBER($G73)),$G73/$F73,"")</f>
        <v/>
      </c>
      <c r="R73" s="51" t="str">
        <f>IF(AND(ISNUMBER($F73),$F73&gt;0,ISNUMBER($H73)),$H73/$F73,"")</f>
        <v/>
      </c>
      <c r="S73" s="52" t="str">
        <f>IF(AND(ISNUMBER($J73),ISNUMBER($L73)),IF($L73&gt;0,$J73/$L73,""),"")</f>
        <v/>
      </c>
      <c r="T73" s="53" t="str">
        <f>IF(ISNUMBER($A73),YEAR($A73)&amp;"-"&amp;TEXT(MONTH($A73),"00"),"")</f>
        <v/>
      </c>
    </row>
    <row r="74">
      <c r="A74" s="47" t="n"/>
      <c r="B74" s="48" t="n"/>
      <c r="C74" s="48" t="n"/>
      <c r="D74" s="48" t="n"/>
      <c r="E74" s="48" t="n"/>
      <c r="F74" s="49" t="n"/>
      <c r="G74" s="49" t="n"/>
      <c r="H74" s="49" t="n"/>
      <c r="I74" s="49" t="n"/>
      <c r="J74" s="49" t="n"/>
      <c r="K74" s="49" t="n"/>
      <c r="L74" s="49" t="n"/>
      <c r="M74" s="49" t="n"/>
      <c r="N74" s="49" t="n"/>
      <c r="O74" s="49" t="n"/>
      <c r="P74" s="50" t="n"/>
      <c r="Q74" s="51" t="str">
        <f>IF(AND(ISNUMBER($F74),$F74&gt;0,ISNUMBER($G74)),$G74/$F74,"")</f>
        <v/>
      </c>
      <c r="R74" s="51" t="str">
        <f>IF(AND(ISNUMBER($F74),$F74&gt;0,ISNUMBER($H74)),$H74/$F74,"")</f>
        <v/>
      </c>
      <c r="S74" s="52" t="str">
        <f>IF(AND(ISNUMBER($J74),ISNUMBER($L74)),IF($L74&gt;0,$J74/$L74,""),"")</f>
        <v/>
      </c>
      <c r="T74" s="53" t="str">
        <f>IF(ISNUMBER($A74),YEAR($A74)&amp;"-"&amp;TEXT(MONTH($A74),"00"),"")</f>
        <v/>
      </c>
    </row>
    <row r="75">
      <c r="A75" s="47" t="n"/>
      <c r="B75" s="48" t="n"/>
      <c r="C75" s="48" t="n"/>
      <c r="D75" s="48" t="n"/>
      <c r="E75" s="48" t="n"/>
      <c r="F75" s="49" t="n"/>
      <c r="G75" s="49" t="n"/>
      <c r="H75" s="49" t="n"/>
      <c r="I75" s="49" t="n"/>
      <c r="J75" s="49" t="n"/>
      <c r="K75" s="49" t="n"/>
      <c r="L75" s="49" t="n"/>
      <c r="M75" s="49" t="n"/>
      <c r="N75" s="49" t="n"/>
      <c r="O75" s="49" t="n"/>
      <c r="P75" s="50" t="n"/>
      <c r="Q75" s="51" t="str">
        <f>IF(AND(ISNUMBER($F75),$F75&gt;0,ISNUMBER($G75)),$G75/$F75,"")</f>
        <v/>
      </c>
      <c r="R75" s="51" t="str">
        <f>IF(AND(ISNUMBER($F75),$F75&gt;0,ISNUMBER($H75)),$H75/$F75,"")</f>
        <v/>
      </c>
      <c r="S75" s="52" t="str">
        <f>IF(AND(ISNUMBER($J75),ISNUMBER($L75)),IF($L75&gt;0,$J75/$L75,""),"")</f>
        <v/>
      </c>
      <c r="T75" s="53" t="str">
        <f>IF(ISNUMBER($A75),YEAR($A75)&amp;"-"&amp;TEXT(MONTH($A75),"00"),"")</f>
        <v/>
      </c>
    </row>
    <row r="76">
      <c r="A76" s="47" t="n"/>
      <c r="B76" s="48" t="n"/>
      <c r="C76" s="48" t="n"/>
      <c r="D76" s="48" t="n"/>
      <c r="E76" s="48" t="n"/>
      <c r="F76" s="49" t="n"/>
      <c r="G76" s="49" t="n"/>
      <c r="H76" s="49" t="n"/>
      <c r="I76" s="49" t="n"/>
      <c r="J76" s="49" t="n"/>
      <c r="K76" s="49" t="n"/>
      <c r="L76" s="49" t="n"/>
      <c r="M76" s="49" t="n"/>
      <c r="N76" s="49" t="n"/>
      <c r="O76" s="49" t="n"/>
      <c r="P76" s="50" t="n"/>
      <c r="Q76" s="51" t="str">
        <f>IF(AND(ISNUMBER($F76),$F76&gt;0,ISNUMBER($G76)),$G76/$F76,"")</f>
        <v/>
      </c>
      <c r="R76" s="51" t="str">
        <f>IF(AND(ISNUMBER($F76),$F76&gt;0,ISNUMBER($H76)),$H76/$F76,"")</f>
        <v/>
      </c>
      <c r="S76" s="52" t="str">
        <f>IF(AND(ISNUMBER($J76),ISNUMBER($L76)),IF($L76&gt;0,$J76/$L76,""),"")</f>
        <v/>
      </c>
      <c r="T76" s="53" t="str">
        <f>IF(ISNUMBER($A76),YEAR($A76)&amp;"-"&amp;TEXT(MONTH($A76),"00"),"")</f>
        <v/>
      </c>
    </row>
    <row r="77">
      <c r="A77" s="47" t="n"/>
      <c r="B77" s="48" t="n"/>
      <c r="C77" s="48" t="n"/>
      <c r="D77" s="48" t="n"/>
      <c r="E77" s="48" t="n"/>
      <c r="F77" s="49" t="n"/>
      <c r="G77" s="49" t="n"/>
      <c r="H77" s="49" t="n"/>
      <c r="I77" s="49" t="n"/>
      <c r="J77" s="49" t="n"/>
      <c r="K77" s="49" t="n"/>
      <c r="L77" s="49" t="n"/>
      <c r="M77" s="49" t="n"/>
      <c r="N77" s="49" t="n"/>
      <c r="O77" s="49" t="n"/>
      <c r="P77" s="50" t="n"/>
      <c r="Q77" s="51" t="str">
        <f>IF(AND(ISNUMBER($F77),$F77&gt;0,ISNUMBER($G77)),$G77/$F77,"")</f>
        <v/>
      </c>
      <c r="R77" s="51" t="str">
        <f>IF(AND(ISNUMBER($F77),$F77&gt;0,ISNUMBER($H77)),$H77/$F77,"")</f>
        <v/>
      </c>
      <c r="S77" s="52" t="str">
        <f>IF(AND(ISNUMBER($J77),ISNUMBER($L77)),IF($L77&gt;0,$J77/$L77,""),"")</f>
        <v/>
      </c>
      <c r="T77" s="53" t="str">
        <f>IF(ISNUMBER($A77),YEAR($A77)&amp;"-"&amp;TEXT(MONTH($A77),"00"),"")</f>
        <v/>
      </c>
    </row>
    <row r="78">
      <c r="A78" s="47" t="n"/>
      <c r="B78" s="48" t="n"/>
      <c r="C78" s="48" t="n"/>
      <c r="D78" s="48" t="n"/>
      <c r="E78" s="48" t="n"/>
      <c r="F78" s="49" t="n"/>
      <c r="G78" s="49" t="n"/>
      <c r="H78" s="49" t="n"/>
      <c r="I78" s="49" t="n"/>
      <c r="J78" s="49" t="n"/>
      <c r="K78" s="49" t="n"/>
      <c r="L78" s="49" t="n"/>
      <c r="M78" s="49" t="n"/>
      <c r="N78" s="49" t="n"/>
      <c r="O78" s="49" t="n"/>
      <c r="P78" s="50" t="n"/>
      <c r="Q78" s="51" t="str">
        <f>IF(AND(ISNUMBER($F78),$F78&gt;0,ISNUMBER($G78)),$G78/$F78,"")</f>
        <v/>
      </c>
      <c r="R78" s="51" t="str">
        <f>IF(AND(ISNUMBER($F78),$F78&gt;0,ISNUMBER($H78)),$H78/$F78,"")</f>
        <v/>
      </c>
      <c r="S78" s="52" t="str">
        <f>IF(AND(ISNUMBER($J78),ISNUMBER($L78)),IF($L78&gt;0,$J78/$L78,""),"")</f>
        <v/>
      </c>
      <c r="T78" s="53" t="str">
        <f>IF(ISNUMBER($A78),YEAR($A78)&amp;"-"&amp;TEXT(MONTH($A78),"00"),"")</f>
        <v/>
      </c>
    </row>
    <row r="79">
      <c r="A79" s="47" t="n"/>
      <c r="B79" s="48" t="n"/>
      <c r="C79" s="48" t="n"/>
      <c r="D79" s="48" t="n"/>
      <c r="E79" s="48" t="n"/>
      <c r="F79" s="49" t="n"/>
      <c r="G79" s="49" t="n"/>
      <c r="H79" s="49" t="n"/>
      <c r="I79" s="49" t="n"/>
      <c r="J79" s="49" t="n"/>
      <c r="K79" s="49" t="n"/>
      <c r="L79" s="49" t="n"/>
      <c r="M79" s="49" t="n"/>
      <c r="N79" s="49" t="n"/>
      <c r="O79" s="49" t="n"/>
      <c r="P79" s="50" t="n"/>
      <c r="Q79" s="51" t="str">
        <f>IF(AND(ISNUMBER($F79),$F79&gt;0,ISNUMBER($G79)),$G79/$F79,"")</f>
        <v/>
      </c>
      <c r="R79" s="51" t="str">
        <f>IF(AND(ISNUMBER($F79),$F79&gt;0,ISNUMBER($H79)),$H79/$F79,"")</f>
        <v/>
      </c>
      <c r="S79" s="52" t="str">
        <f>IF(AND(ISNUMBER($J79),ISNUMBER($L79)),IF($L79&gt;0,$J79/$L79,""),"")</f>
        <v/>
      </c>
      <c r="T79" s="53" t="str">
        <f>IF(ISNUMBER($A79),YEAR($A79)&amp;"-"&amp;TEXT(MONTH($A79),"00"),"")</f>
        <v/>
      </c>
    </row>
    <row r="80">
      <c r="A80" s="47" t="n"/>
      <c r="B80" s="48" t="n"/>
      <c r="C80" s="48" t="n"/>
      <c r="D80" s="48" t="n"/>
      <c r="E80" s="48" t="n"/>
      <c r="F80" s="49" t="n"/>
      <c r="G80" s="49" t="n"/>
      <c r="H80" s="49" t="n"/>
      <c r="I80" s="49" t="n"/>
      <c r="J80" s="49" t="n"/>
      <c r="K80" s="49" t="n"/>
      <c r="L80" s="49" t="n"/>
      <c r="M80" s="49" t="n"/>
      <c r="N80" s="49" t="n"/>
      <c r="O80" s="49" t="n"/>
      <c r="P80" s="50" t="n"/>
      <c r="Q80" s="51" t="str">
        <f>IF(AND(ISNUMBER($F80),$F80&gt;0,ISNUMBER($G80)),$G80/$F80,"")</f>
        <v/>
      </c>
      <c r="R80" s="51" t="str">
        <f>IF(AND(ISNUMBER($F80),$F80&gt;0,ISNUMBER($H80)),$H80/$F80,"")</f>
        <v/>
      </c>
      <c r="S80" s="52" t="str">
        <f>IF(AND(ISNUMBER($J80),ISNUMBER($L80)),IF($L80&gt;0,$J80/$L80,""),"")</f>
        <v/>
      </c>
      <c r="T80" s="53" t="str">
        <f>IF(ISNUMBER($A80),YEAR($A80)&amp;"-"&amp;TEXT(MONTH($A80),"00"),"")</f>
        <v/>
      </c>
    </row>
    <row r="81">
      <c r="A81" s="47" t="n"/>
      <c r="B81" s="48" t="n"/>
      <c r="C81" s="48" t="n"/>
      <c r="D81" s="48" t="n"/>
      <c r="E81" s="48" t="n"/>
      <c r="F81" s="49" t="n"/>
      <c r="G81" s="49" t="n"/>
      <c r="H81" s="49" t="n"/>
      <c r="I81" s="49" t="n"/>
      <c r="J81" s="49" t="n"/>
      <c r="K81" s="49" t="n"/>
      <c r="L81" s="49" t="n"/>
      <c r="M81" s="49" t="n"/>
      <c r="N81" s="49" t="n"/>
      <c r="O81" s="49" t="n"/>
      <c r="P81" s="50" t="n"/>
      <c r="Q81" s="51" t="str">
        <f>IF(AND(ISNUMBER($F81),$F81&gt;0,ISNUMBER($G81)),$G81/$F81,"")</f>
        <v/>
      </c>
      <c r="R81" s="51" t="str">
        <f>IF(AND(ISNUMBER($F81),$F81&gt;0,ISNUMBER($H81)),$H81/$F81,"")</f>
        <v/>
      </c>
      <c r="S81" s="52" t="str">
        <f>IF(AND(ISNUMBER($J81),ISNUMBER($L81)),IF($L81&gt;0,$J81/$L81,""),"")</f>
        <v/>
      </c>
      <c r="T81" s="53" t="str">
        <f>IF(ISNUMBER($A81),YEAR($A81)&amp;"-"&amp;TEXT(MONTH($A81),"00"),"")</f>
        <v/>
      </c>
    </row>
    <row r="82">
      <c r="A82" s="47" t="n"/>
      <c r="B82" s="48" t="n"/>
      <c r="C82" s="48" t="n"/>
      <c r="D82" s="48" t="n"/>
      <c r="E82" s="48" t="n"/>
      <c r="F82" s="49" t="n"/>
      <c r="G82" s="49" t="n"/>
      <c r="H82" s="49" t="n"/>
      <c r="I82" s="49" t="n"/>
      <c r="J82" s="49" t="n"/>
      <c r="K82" s="49" t="n"/>
      <c r="L82" s="49" t="n"/>
      <c r="M82" s="49" t="n"/>
      <c r="N82" s="49" t="n"/>
      <c r="O82" s="49" t="n"/>
      <c r="P82" s="50" t="n"/>
      <c r="Q82" s="51" t="str">
        <f>IF(AND(ISNUMBER($F82),$F82&gt;0,ISNUMBER($G82)),$G82/$F82,"")</f>
        <v/>
      </c>
      <c r="R82" s="51" t="str">
        <f>IF(AND(ISNUMBER($F82),$F82&gt;0,ISNUMBER($H82)),$H82/$F82,"")</f>
        <v/>
      </c>
      <c r="S82" s="52" t="str">
        <f>IF(AND(ISNUMBER($J82),ISNUMBER($L82)),IF($L82&gt;0,$J82/$L82,""),"")</f>
        <v/>
      </c>
      <c r="T82" s="53" t="str">
        <f>IF(ISNUMBER($A82),YEAR($A82)&amp;"-"&amp;TEXT(MONTH($A82),"00"),"")</f>
        <v/>
      </c>
    </row>
    <row r="83">
      <c r="A83" s="47" t="n"/>
      <c r="B83" s="48" t="n"/>
      <c r="C83" s="48" t="n"/>
      <c r="D83" s="48" t="n"/>
      <c r="E83" s="48" t="n"/>
      <c r="F83" s="49" t="n"/>
      <c r="G83" s="49" t="n"/>
      <c r="H83" s="49" t="n"/>
      <c r="I83" s="49" t="n"/>
      <c r="J83" s="49" t="n"/>
      <c r="K83" s="49" t="n"/>
      <c r="L83" s="49" t="n"/>
      <c r="M83" s="49" t="n"/>
      <c r="N83" s="49" t="n"/>
      <c r="O83" s="49" t="n"/>
      <c r="P83" s="50" t="n"/>
      <c r="Q83" s="51" t="str">
        <f>IF(AND(ISNUMBER($F83),$F83&gt;0,ISNUMBER($G83)),$G83/$F83,"")</f>
        <v/>
      </c>
      <c r="R83" s="51" t="str">
        <f>IF(AND(ISNUMBER($F83),$F83&gt;0,ISNUMBER($H83)),$H83/$F83,"")</f>
        <v/>
      </c>
      <c r="S83" s="52" t="str">
        <f>IF(AND(ISNUMBER($J83),ISNUMBER($L83)),IF($L83&gt;0,$J83/$L83,""),"")</f>
        <v/>
      </c>
      <c r="T83" s="53" t="str">
        <f>IF(ISNUMBER($A83),YEAR($A83)&amp;"-"&amp;TEXT(MONTH($A83),"00"),"")</f>
        <v/>
      </c>
    </row>
    <row r="84">
      <c r="A84" s="47" t="n"/>
      <c r="B84" s="48" t="n"/>
      <c r="C84" s="48" t="n"/>
      <c r="D84" s="48" t="n"/>
      <c r="E84" s="48" t="n"/>
      <c r="F84" s="49" t="n"/>
      <c r="G84" s="49" t="n"/>
      <c r="H84" s="49" t="n"/>
      <c r="I84" s="49" t="n"/>
      <c r="J84" s="49" t="n"/>
      <c r="K84" s="49" t="n"/>
      <c r="L84" s="49" t="n"/>
      <c r="M84" s="49" t="n"/>
      <c r="N84" s="49" t="n"/>
      <c r="O84" s="49" t="n"/>
      <c r="P84" s="50" t="n"/>
      <c r="Q84" s="51" t="str">
        <f>IF(AND(ISNUMBER($F84),$F84&gt;0,ISNUMBER($G84)),$G84/$F84,"")</f>
        <v/>
      </c>
      <c r="R84" s="51" t="str">
        <f>IF(AND(ISNUMBER($F84),$F84&gt;0,ISNUMBER($H84)),$H84/$F84,"")</f>
        <v/>
      </c>
      <c r="S84" s="52" t="str">
        <f>IF(AND(ISNUMBER($J84),ISNUMBER($L84)),IF($L84&gt;0,$J84/$L84,""),"")</f>
        <v/>
      </c>
      <c r="T84" s="53" t="str">
        <f>IF(ISNUMBER($A84),YEAR($A84)&amp;"-"&amp;TEXT(MONTH($A84),"00"),"")</f>
        <v/>
      </c>
    </row>
    <row r="85">
      <c r="A85" s="47" t="n"/>
      <c r="B85" s="48" t="n"/>
      <c r="C85" s="48" t="n"/>
      <c r="D85" s="48" t="n"/>
      <c r="E85" s="48" t="n"/>
      <c r="F85" s="49" t="n"/>
      <c r="G85" s="49" t="n"/>
      <c r="H85" s="49" t="n"/>
      <c r="I85" s="49" t="n"/>
      <c r="J85" s="49" t="n"/>
      <c r="K85" s="49" t="n"/>
      <c r="L85" s="49" t="n"/>
      <c r="M85" s="49" t="n"/>
      <c r="N85" s="49" t="n"/>
      <c r="O85" s="49" t="n"/>
      <c r="P85" s="50" t="n"/>
      <c r="Q85" s="51" t="str">
        <f>IF(AND(ISNUMBER($F85),$F85&gt;0,ISNUMBER($G85)),$G85/$F85,"")</f>
        <v/>
      </c>
      <c r="R85" s="51" t="str">
        <f>IF(AND(ISNUMBER($F85),$F85&gt;0,ISNUMBER($H85)),$H85/$F85,"")</f>
        <v/>
      </c>
      <c r="S85" s="52" t="str">
        <f>IF(AND(ISNUMBER($J85),ISNUMBER($L85)),IF($L85&gt;0,$J85/$L85,""),"")</f>
        <v/>
      </c>
      <c r="T85" s="53" t="str">
        <f>IF(ISNUMBER($A85),YEAR($A85)&amp;"-"&amp;TEXT(MONTH($A85),"00"),"")</f>
        <v/>
      </c>
    </row>
    <row r="86">
      <c r="A86" s="47" t="n"/>
      <c r="B86" s="48" t="n"/>
      <c r="C86" s="48" t="n"/>
      <c r="D86" s="48" t="n"/>
      <c r="E86" s="48" t="n"/>
      <c r="F86" s="49" t="n"/>
      <c r="G86" s="49" t="n"/>
      <c r="H86" s="49" t="n"/>
      <c r="I86" s="49" t="n"/>
      <c r="J86" s="49" t="n"/>
      <c r="K86" s="49" t="n"/>
      <c r="L86" s="49" t="n"/>
      <c r="M86" s="49" t="n"/>
      <c r="N86" s="49" t="n"/>
      <c r="O86" s="49" t="n"/>
      <c r="P86" s="50" t="n"/>
      <c r="Q86" s="51" t="str">
        <f>IF(AND(ISNUMBER($F86),$F86&gt;0,ISNUMBER($G86)),$G86/$F86,"")</f>
        <v/>
      </c>
      <c r="R86" s="51" t="str">
        <f>IF(AND(ISNUMBER($F86),$F86&gt;0,ISNUMBER($H86)),$H86/$F86,"")</f>
        <v/>
      </c>
      <c r="S86" s="52" t="str">
        <f>IF(AND(ISNUMBER($J86),ISNUMBER($L86)),IF($L86&gt;0,$J86/$L86,""),"")</f>
        <v/>
      </c>
      <c r="T86" s="53" t="str">
        <f>IF(ISNUMBER($A86),YEAR($A86)&amp;"-"&amp;TEXT(MONTH($A86),"00"),"")</f>
        <v/>
      </c>
    </row>
    <row r="87">
      <c r="A87" s="47" t="n"/>
      <c r="B87" s="48" t="n"/>
      <c r="C87" s="48" t="n"/>
      <c r="D87" s="48" t="n"/>
      <c r="E87" s="48" t="n"/>
      <c r="F87" s="49" t="n"/>
      <c r="G87" s="49" t="n"/>
      <c r="H87" s="49" t="n"/>
      <c r="I87" s="49" t="n"/>
      <c r="J87" s="49" t="n"/>
      <c r="K87" s="49" t="n"/>
      <c r="L87" s="49" t="n"/>
      <c r="M87" s="49" t="n"/>
      <c r="N87" s="49" t="n"/>
      <c r="O87" s="49" t="n"/>
      <c r="P87" s="50" t="n"/>
      <c r="Q87" s="51" t="str">
        <f>IF(AND(ISNUMBER($F87),$F87&gt;0,ISNUMBER($G87)),$G87/$F87,"")</f>
        <v/>
      </c>
      <c r="R87" s="51" t="str">
        <f>IF(AND(ISNUMBER($F87),$F87&gt;0,ISNUMBER($H87)),$H87/$F87,"")</f>
        <v/>
      </c>
      <c r="S87" s="52" t="str">
        <f>IF(AND(ISNUMBER($J87),ISNUMBER($L87)),IF($L87&gt;0,$J87/$L87,""),"")</f>
        <v/>
      </c>
      <c r="T87" s="53" t="str">
        <f>IF(ISNUMBER($A87),YEAR($A87)&amp;"-"&amp;TEXT(MONTH($A87),"00"),"")</f>
        <v/>
      </c>
    </row>
    <row r="88">
      <c r="A88" s="47" t="n"/>
      <c r="B88" s="48" t="n"/>
      <c r="C88" s="48" t="n"/>
      <c r="D88" s="48" t="n"/>
      <c r="E88" s="48" t="n"/>
      <c r="F88" s="49" t="n"/>
      <c r="G88" s="49" t="n"/>
      <c r="H88" s="49" t="n"/>
      <c r="I88" s="49" t="n"/>
      <c r="J88" s="49" t="n"/>
      <c r="K88" s="49" t="n"/>
      <c r="L88" s="49" t="n"/>
      <c r="M88" s="49" t="n"/>
      <c r="N88" s="49" t="n"/>
      <c r="O88" s="49" t="n"/>
      <c r="P88" s="50" t="n"/>
      <c r="Q88" s="51" t="str">
        <f>IF(AND(ISNUMBER($F88),$F88&gt;0,ISNUMBER($G88)),$G88/$F88,"")</f>
        <v/>
      </c>
      <c r="R88" s="51" t="str">
        <f>IF(AND(ISNUMBER($F88),$F88&gt;0,ISNUMBER($H88)),$H88/$F88,"")</f>
        <v/>
      </c>
      <c r="S88" s="52" t="str">
        <f>IF(AND(ISNUMBER($J88),ISNUMBER($L88)),IF($L88&gt;0,$J88/$L88,""),"")</f>
        <v/>
      </c>
      <c r="T88" s="53" t="str">
        <f>IF(ISNUMBER($A88),YEAR($A88)&amp;"-"&amp;TEXT(MONTH($A88),"00"),"")</f>
        <v/>
      </c>
    </row>
    <row r="89">
      <c r="A89" s="47" t="n"/>
      <c r="B89" s="48" t="n"/>
      <c r="C89" s="48" t="n"/>
      <c r="D89" s="48" t="n"/>
      <c r="E89" s="48" t="n"/>
      <c r="F89" s="49" t="n"/>
      <c r="G89" s="49" t="n"/>
      <c r="H89" s="49" t="n"/>
      <c r="I89" s="49" t="n"/>
      <c r="J89" s="49" t="n"/>
      <c r="K89" s="49" t="n"/>
      <c r="L89" s="49" t="n"/>
      <c r="M89" s="49" t="n"/>
      <c r="N89" s="49" t="n"/>
      <c r="O89" s="49" t="n"/>
      <c r="P89" s="50" t="n"/>
      <c r="Q89" s="51" t="str">
        <f>IF(AND(ISNUMBER($F89),$F89&gt;0,ISNUMBER($G89)),$G89/$F89,"")</f>
        <v/>
      </c>
      <c r="R89" s="51" t="str">
        <f>IF(AND(ISNUMBER($F89),$F89&gt;0,ISNUMBER($H89)),$H89/$F89,"")</f>
        <v/>
      </c>
      <c r="S89" s="52" t="str">
        <f>IF(AND(ISNUMBER($J89),ISNUMBER($L89)),IF($L89&gt;0,$J89/$L89,""),"")</f>
        <v/>
      </c>
      <c r="T89" s="53" t="str">
        <f>IF(ISNUMBER($A89),YEAR($A89)&amp;"-"&amp;TEXT(MONTH($A89),"00"),"")</f>
        <v/>
      </c>
    </row>
    <row r="90">
      <c r="A90" s="47" t="n"/>
      <c r="B90" s="48" t="n"/>
      <c r="C90" s="48" t="n"/>
      <c r="D90" s="48" t="n"/>
      <c r="E90" s="48" t="n"/>
      <c r="F90" s="49" t="n"/>
      <c r="G90" s="49" t="n"/>
      <c r="H90" s="49" t="n"/>
      <c r="I90" s="49" t="n"/>
      <c r="J90" s="49" t="n"/>
      <c r="K90" s="49" t="n"/>
      <c r="L90" s="49" t="n"/>
      <c r="M90" s="49" t="n"/>
      <c r="N90" s="49" t="n"/>
      <c r="O90" s="49" t="n"/>
      <c r="P90" s="50" t="n"/>
      <c r="Q90" s="51" t="str">
        <f>IF(AND(ISNUMBER($F90),$F90&gt;0,ISNUMBER($G90)),$G90/$F90,"")</f>
        <v/>
      </c>
      <c r="R90" s="51" t="str">
        <f>IF(AND(ISNUMBER($F90),$F90&gt;0,ISNUMBER($H90)),$H90/$F90,"")</f>
        <v/>
      </c>
      <c r="S90" s="52" t="str">
        <f>IF(AND(ISNUMBER($J90),ISNUMBER($L90)),IF($L90&gt;0,$J90/$L90,""),"")</f>
        <v/>
      </c>
      <c r="T90" s="53" t="str">
        <f>IF(ISNUMBER($A90),YEAR($A90)&amp;"-"&amp;TEXT(MONTH($A90),"00"),"")</f>
        <v/>
      </c>
    </row>
    <row r="91">
      <c r="A91" s="47" t="n"/>
      <c r="B91" s="48" t="n"/>
      <c r="C91" s="48" t="n"/>
      <c r="D91" s="48" t="n"/>
      <c r="E91" s="48" t="n"/>
      <c r="F91" s="49" t="n"/>
      <c r="G91" s="49" t="n"/>
      <c r="H91" s="49" t="n"/>
      <c r="I91" s="49" t="n"/>
      <c r="J91" s="49" t="n"/>
      <c r="K91" s="49" t="n"/>
      <c r="L91" s="49" t="n"/>
      <c r="M91" s="49" t="n"/>
      <c r="N91" s="49" t="n"/>
      <c r="O91" s="49" t="n"/>
      <c r="P91" s="50" t="n"/>
      <c r="Q91" s="51" t="str">
        <f>IF(AND(ISNUMBER($F91),$F91&gt;0,ISNUMBER($G91)),$G91/$F91,"")</f>
        <v/>
      </c>
      <c r="R91" s="51" t="str">
        <f>IF(AND(ISNUMBER($F91),$F91&gt;0,ISNUMBER($H91)),$H91/$F91,"")</f>
        <v/>
      </c>
      <c r="S91" s="52" t="str">
        <f>IF(AND(ISNUMBER($J91),ISNUMBER($L91)),IF($L91&gt;0,$J91/$L91,""),"")</f>
        <v/>
      </c>
      <c r="T91" s="53" t="str">
        <f>IF(ISNUMBER($A91),YEAR($A91)&amp;"-"&amp;TEXT(MONTH($A91),"00"),"")</f>
        <v/>
      </c>
    </row>
    <row r="92">
      <c r="A92" s="47" t="n"/>
      <c r="B92" s="48" t="n"/>
      <c r="C92" s="48" t="n"/>
      <c r="D92" s="48" t="n"/>
      <c r="E92" s="48" t="n"/>
      <c r="F92" s="49" t="n"/>
      <c r="G92" s="49" t="n"/>
      <c r="H92" s="49" t="n"/>
      <c r="I92" s="49" t="n"/>
      <c r="J92" s="49" t="n"/>
      <c r="K92" s="49" t="n"/>
      <c r="L92" s="49" t="n"/>
      <c r="M92" s="49" t="n"/>
      <c r="N92" s="49" t="n"/>
      <c r="O92" s="49" t="n"/>
      <c r="P92" s="50" t="n"/>
      <c r="Q92" s="51" t="str">
        <f>IF(AND(ISNUMBER($F92),$F92&gt;0,ISNUMBER($G92)),$G92/$F92,"")</f>
        <v/>
      </c>
      <c r="R92" s="51" t="str">
        <f>IF(AND(ISNUMBER($F92),$F92&gt;0,ISNUMBER($H92)),$H92/$F92,"")</f>
        <v/>
      </c>
      <c r="S92" s="52" t="str">
        <f>IF(AND(ISNUMBER($J92),ISNUMBER($L92)),IF($L92&gt;0,$J92/$L92,""),"")</f>
        <v/>
      </c>
      <c r="T92" s="53" t="str">
        <f>IF(ISNUMBER($A92),YEAR($A92)&amp;"-"&amp;TEXT(MONTH($A92),"00"),"")</f>
        <v/>
      </c>
    </row>
    <row r="93">
      <c r="A93" s="47" t="n"/>
      <c r="B93" s="48" t="n"/>
      <c r="C93" s="48" t="n"/>
      <c r="D93" s="48" t="n"/>
      <c r="E93" s="48" t="n"/>
      <c r="F93" s="49" t="n"/>
      <c r="G93" s="49" t="n"/>
      <c r="H93" s="49" t="n"/>
      <c r="I93" s="49" t="n"/>
      <c r="J93" s="49" t="n"/>
      <c r="K93" s="49" t="n"/>
      <c r="L93" s="49" t="n"/>
      <c r="M93" s="49" t="n"/>
      <c r="N93" s="49" t="n"/>
      <c r="O93" s="49" t="n"/>
      <c r="P93" s="50" t="n"/>
      <c r="Q93" s="51" t="str">
        <f>IF(AND(ISNUMBER($F93),$F93&gt;0,ISNUMBER($G93)),$G93/$F93,"")</f>
        <v/>
      </c>
      <c r="R93" s="51" t="str">
        <f>IF(AND(ISNUMBER($F93),$F93&gt;0,ISNUMBER($H93)),$H93/$F93,"")</f>
        <v/>
      </c>
      <c r="S93" s="52" t="str">
        <f>IF(AND(ISNUMBER($J93),ISNUMBER($L93)),IF($L93&gt;0,$J93/$L93,""),"")</f>
        <v/>
      </c>
      <c r="T93" s="53" t="str">
        <f>IF(ISNUMBER($A93),YEAR($A93)&amp;"-"&amp;TEXT(MONTH($A93),"00"),"")</f>
        <v/>
      </c>
    </row>
    <row r="94">
      <c r="A94" s="47" t="n"/>
      <c r="B94" s="48" t="n"/>
      <c r="C94" s="48" t="n"/>
      <c r="D94" s="48" t="n"/>
      <c r="E94" s="48" t="n"/>
      <c r="F94" s="49" t="n"/>
      <c r="G94" s="49" t="n"/>
      <c r="H94" s="49" t="n"/>
      <c r="I94" s="49" t="n"/>
      <c r="J94" s="49" t="n"/>
      <c r="K94" s="49" t="n"/>
      <c r="L94" s="49" t="n"/>
      <c r="M94" s="49" t="n"/>
      <c r="N94" s="49" t="n"/>
      <c r="O94" s="49" t="n"/>
      <c r="P94" s="50" t="n"/>
      <c r="Q94" s="51" t="str">
        <f>IF(AND(ISNUMBER($F94),$F94&gt;0,ISNUMBER($G94)),$G94/$F94,"")</f>
        <v/>
      </c>
      <c r="R94" s="51" t="str">
        <f>IF(AND(ISNUMBER($F94),$F94&gt;0,ISNUMBER($H94)),$H94/$F94,"")</f>
        <v/>
      </c>
      <c r="S94" s="52" t="str">
        <f>IF(AND(ISNUMBER($J94),ISNUMBER($L94)),IF($L94&gt;0,$J94/$L94,""),"")</f>
        <v/>
      </c>
      <c r="T94" s="53" t="str">
        <f>IF(ISNUMBER($A94),YEAR($A94)&amp;"-"&amp;TEXT(MONTH($A94),"00"),"")</f>
        <v/>
      </c>
    </row>
    <row r="95">
      <c r="A95" s="47" t="n"/>
      <c r="B95" s="48" t="n"/>
      <c r="C95" s="48" t="n"/>
      <c r="D95" s="48" t="n"/>
      <c r="E95" s="48" t="n"/>
      <c r="F95" s="49" t="n"/>
      <c r="G95" s="49" t="n"/>
      <c r="H95" s="49" t="n"/>
      <c r="I95" s="49" t="n"/>
      <c r="J95" s="49" t="n"/>
      <c r="K95" s="49" t="n"/>
      <c r="L95" s="49" t="n"/>
      <c r="M95" s="49" t="n"/>
      <c r="N95" s="49" t="n"/>
      <c r="O95" s="49" t="n"/>
      <c r="P95" s="50" t="n"/>
      <c r="Q95" s="51" t="str">
        <f>IF(AND(ISNUMBER($F95),$F95&gt;0,ISNUMBER($G95)),$G95/$F95,"")</f>
        <v/>
      </c>
      <c r="R95" s="51" t="str">
        <f>IF(AND(ISNUMBER($F95),$F95&gt;0,ISNUMBER($H95)),$H95/$F95,"")</f>
        <v/>
      </c>
      <c r="S95" s="52" t="str">
        <f>IF(AND(ISNUMBER($J95),ISNUMBER($L95)),IF($L95&gt;0,$J95/$L95,""),"")</f>
        <v/>
      </c>
      <c r="T95" s="53" t="str">
        <f>IF(ISNUMBER($A95),YEAR($A95)&amp;"-"&amp;TEXT(MONTH($A95),"00"),"")</f>
        <v/>
      </c>
    </row>
    <row r="96">
      <c r="A96" s="47" t="n"/>
      <c r="B96" s="48" t="n"/>
      <c r="C96" s="48" t="n"/>
      <c r="D96" s="48" t="n"/>
      <c r="E96" s="48" t="n"/>
      <c r="F96" s="49" t="n"/>
      <c r="G96" s="49" t="n"/>
      <c r="H96" s="49" t="n"/>
      <c r="I96" s="49" t="n"/>
      <c r="J96" s="49" t="n"/>
      <c r="K96" s="49" t="n"/>
      <c r="L96" s="49" t="n"/>
      <c r="M96" s="49" t="n"/>
      <c r="N96" s="49" t="n"/>
      <c r="O96" s="49" t="n"/>
      <c r="P96" s="50" t="n"/>
      <c r="Q96" s="51" t="str">
        <f>IF(AND(ISNUMBER($F96),$F96&gt;0,ISNUMBER($G96)),$G96/$F96,"")</f>
        <v/>
      </c>
      <c r="R96" s="51" t="str">
        <f>IF(AND(ISNUMBER($F96),$F96&gt;0,ISNUMBER($H96)),$H96/$F96,"")</f>
        <v/>
      </c>
      <c r="S96" s="52" t="str">
        <f>IF(AND(ISNUMBER($J96),ISNUMBER($L96)),IF($L96&gt;0,$J96/$L96,""),"")</f>
        <v/>
      </c>
      <c r="T96" s="53" t="str">
        <f>IF(ISNUMBER($A96),YEAR($A96)&amp;"-"&amp;TEXT(MONTH($A96),"00"),"")</f>
        <v/>
      </c>
    </row>
    <row r="97">
      <c r="A97" s="47" t="n"/>
      <c r="B97" s="48" t="n"/>
      <c r="C97" s="48" t="n"/>
      <c r="D97" s="48" t="n"/>
      <c r="E97" s="48" t="n"/>
      <c r="F97" s="49" t="n"/>
      <c r="G97" s="49" t="n"/>
      <c r="H97" s="49" t="n"/>
      <c r="I97" s="49" t="n"/>
      <c r="J97" s="49" t="n"/>
      <c r="K97" s="49" t="n"/>
      <c r="L97" s="49" t="n"/>
      <c r="M97" s="49" t="n"/>
      <c r="N97" s="49" t="n"/>
      <c r="O97" s="49" t="n"/>
      <c r="P97" s="50" t="n"/>
      <c r="Q97" s="51" t="str">
        <f>IF(AND(ISNUMBER($F97),$F97&gt;0,ISNUMBER($G97)),$G97/$F97,"")</f>
        <v/>
      </c>
      <c r="R97" s="51" t="str">
        <f>IF(AND(ISNUMBER($F97),$F97&gt;0,ISNUMBER($H97)),$H97/$F97,"")</f>
        <v/>
      </c>
      <c r="S97" s="52" t="str">
        <f>IF(AND(ISNUMBER($J97),ISNUMBER($L97)),IF($L97&gt;0,$J97/$L97,""),"")</f>
        <v/>
      </c>
      <c r="T97" s="53" t="str">
        <f>IF(ISNUMBER($A97),YEAR($A97)&amp;"-"&amp;TEXT(MONTH($A97),"00"),"")</f>
        <v/>
      </c>
    </row>
    <row r="98">
      <c r="A98" s="47" t="n"/>
      <c r="B98" s="48" t="n"/>
      <c r="C98" s="48" t="n"/>
      <c r="D98" s="48" t="n"/>
      <c r="E98" s="48" t="n"/>
      <c r="F98" s="49" t="n"/>
      <c r="G98" s="49" t="n"/>
      <c r="H98" s="49" t="n"/>
      <c r="I98" s="49" t="n"/>
      <c r="J98" s="49" t="n"/>
      <c r="K98" s="49" t="n"/>
      <c r="L98" s="49" t="n"/>
      <c r="M98" s="49" t="n"/>
      <c r="N98" s="49" t="n"/>
      <c r="O98" s="49" t="n"/>
      <c r="P98" s="50" t="n"/>
      <c r="Q98" s="51" t="str">
        <f>IF(AND(ISNUMBER($F98),$F98&gt;0,ISNUMBER($G98)),$G98/$F98,"")</f>
        <v/>
      </c>
      <c r="R98" s="51" t="str">
        <f>IF(AND(ISNUMBER($F98),$F98&gt;0,ISNUMBER($H98)),$H98/$F98,"")</f>
        <v/>
      </c>
      <c r="S98" s="52" t="str">
        <f>IF(AND(ISNUMBER($J98),ISNUMBER($L98)),IF($L98&gt;0,$J98/$L98,""),"")</f>
        <v/>
      </c>
      <c r="T98" s="53" t="str">
        <f>IF(ISNUMBER($A98),YEAR($A98)&amp;"-"&amp;TEXT(MONTH($A98),"00"),"")</f>
        <v/>
      </c>
    </row>
    <row r="99">
      <c r="A99" s="47" t="n"/>
      <c r="B99" s="48" t="n"/>
      <c r="C99" s="48" t="n"/>
      <c r="D99" s="48" t="n"/>
      <c r="E99" s="48" t="n"/>
      <c r="F99" s="49" t="n"/>
      <c r="G99" s="49" t="n"/>
      <c r="H99" s="49" t="n"/>
      <c r="I99" s="49" t="n"/>
      <c r="J99" s="49" t="n"/>
      <c r="K99" s="49" t="n"/>
      <c r="L99" s="49" t="n"/>
      <c r="M99" s="49" t="n"/>
      <c r="N99" s="49" t="n"/>
      <c r="O99" s="49" t="n"/>
      <c r="P99" s="50" t="n"/>
      <c r="Q99" s="51" t="str">
        <f>IF(AND(ISNUMBER($F99),$F99&gt;0,ISNUMBER($G99)),$G99/$F99,"")</f>
        <v/>
      </c>
      <c r="R99" s="51" t="str">
        <f>IF(AND(ISNUMBER($F99),$F99&gt;0,ISNUMBER($H99)),$H99/$F99,"")</f>
        <v/>
      </c>
      <c r="S99" s="52" t="str">
        <f>IF(AND(ISNUMBER($J99),ISNUMBER($L99)),IF($L99&gt;0,$J99/$L99,""),"")</f>
        <v/>
      </c>
      <c r="T99" s="53" t="str">
        <f>IF(ISNUMBER($A99),YEAR($A99)&amp;"-"&amp;TEXT(MONTH($A99),"00"),"")</f>
        <v/>
      </c>
    </row>
    <row r="100">
      <c r="A100" s="47" t="n"/>
      <c r="B100" s="48" t="n"/>
      <c r="C100" s="48" t="n"/>
      <c r="D100" s="48" t="n"/>
      <c r="E100" s="48" t="n"/>
      <c r="F100" s="49" t="n"/>
      <c r="G100" s="49" t="n"/>
      <c r="H100" s="49" t="n"/>
      <c r="I100" s="49" t="n"/>
      <c r="J100" s="49" t="n"/>
      <c r="K100" s="49" t="n"/>
      <c r="L100" s="49" t="n"/>
      <c r="M100" s="49" t="n"/>
      <c r="N100" s="49" t="n"/>
      <c r="O100" s="49" t="n"/>
      <c r="P100" s="50" t="n"/>
      <c r="Q100" s="51" t="str">
        <f>IF(AND(ISNUMBER($F100),$F100&gt;0,ISNUMBER($G100)),$G100/$F100,"")</f>
        <v/>
      </c>
      <c r="R100" s="51" t="str">
        <f>IF(AND(ISNUMBER($F100),$F100&gt;0,ISNUMBER($H100)),$H100/$F100,"")</f>
        <v/>
      </c>
      <c r="S100" s="52" t="str">
        <f>IF(AND(ISNUMBER($J100),ISNUMBER($L100)),IF($L100&gt;0,$J100/$L100,""),"")</f>
        <v/>
      </c>
      <c r="T100" s="53" t="str">
        <f>IF(ISNUMBER($A100),YEAR($A100)&amp;"-"&amp;TEXT(MONTH($A100),"00"),"")</f>
        <v/>
      </c>
    </row>
    <row r="101">
      <c r="A101" s="47" t="n"/>
      <c r="B101" s="48" t="n"/>
      <c r="C101" s="48" t="n"/>
      <c r="D101" s="48" t="n"/>
      <c r="E101" s="48" t="n"/>
      <c r="F101" s="49" t="n"/>
      <c r="G101" s="49" t="n"/>
      <c r="H101" s="49" t="n"/>
      <c r="I101" s="49" t="n"/>
      <c r="J101" s="49" t="n"/>
      <c r="K101" s="49" t="n"/>
      <c r="L101" s="49" t="n"/>
      <c r="M101" s="49" t="n"/>
      <c r="N101" s="49" t="n"/>
      <c r="O101" s="49" t="n"/>
      <c r="P101" s="50" t="n"/>
      <c r="Q101" s="51" t="str">
        <f>IF(AND(ISNUMBER($F101),$F101&gt;0,ISNUMBER($G101)),$G101/$F101,"")</f>
        <v/>
      </c>
      <c r="R101" s="51" t="str">
        <f>IF(AND(ISNUMBER($F101),$F101&gt;0,ISNUMBER($H101)),$H101/$F101,"")</f>
        <v/>
      </c>
      <c r="S101" s="52" t="str">
        <f>IF(AND(ISNUMBER($J101),ISNUMBER($L101)),IF($L101&gt;0,$J101/$L101,""),"")</f>
        <v/>
      </c>
      <c r="T101" s="53" t="str">
        <f>IF(ISNUMBER($A101),YEAR($A101)&amp;"-"&amp;TEXT(MONTH($A101),"00"),"")</f>
        <v/>
      </c>
    </row>
    <row r="102">
      <c r="A102" s="47" t="n"/>
      <c r="B102" s="48" t="n"/>
      <c r="C102" s="48" t="n"/>
      <c r="D102" s="48" t="n"/>
      <c r="E102" s="48" t="n"/>
      <c r="F102" s="49" t="n"/>
      <c r="G102" s="49" t="n"/>
      <c r="H102" s="49" t="n"/>
      <c r="I102" s="49" t="n"/>
      <c r="J102" s="49" t="n"/>
      <c r="K102" s="49" t="n"/>
      <c r="L102" s="49" t="n"/>
      <c r="M102" s="49" t="n"/>
      <c r="N102" s="49" t="n"/>
      <c r="O102" s="49" t="n"/>
      <c r="P102" s="50" t="n"/>
      <c r="Q102" s="51" t="str">
        <f>IF(AND(ISNUMBER($F102),$F102&gt;0,ISNUMBER($G102)),$G102/$F102,"")</f>
        <v/>
      </c>
      <c r="R102" s="51" t="str">
        <f>IF(AND(ISNUMBER($F102),$F102&gt;0,ISNUMBER($H102)),$H102/$F102,"")</f>
        <v/>
      </c>
      <c r="S102" s="52" t="str">
        <f>IF(AND(ISNUMBER($J102),ISNUMBER($L102)),IF($L102&gt;0,$J102/$L102,""),"")</f>
        <v/>
      </c>
      <c r="T102" s="53" t="str">
        <f>IF(ISNUMBER($A102),YEAR($A102)&amp;"-"&amp;TEXT(MONTH($A102),"00"),"")</f>
        <v/>
      </c>
    </row>
    <row r="103">
      <c r="A103" s="47" t="n"/>
      <c r="B103" s="48" t="n"/>
      <c r="C103" s="48" t="n"/>
      <c r="D103" s="48" t="n"/>
      <c r="E103" s="48" t="n"/>
      <c r="F103" s="49" t="n"/>
      <c r="G103" s="49" t="n"/>
      <c r="H103" s="49" t="n"/>
      <c r="I103" s="49" t="n"/>
      <c r="J103" s="49" t="n"/>
      <c r="K103" s="49" t="n"/>
      <c r="L103" s="49" t="n"/>
      <c r="M103" s="49" t="n"/>
      <c r="N103" s="49" t="n"/>
      <c r="O103" s="49" t="n"/>
      <c r="P103" s="50" t="n"/>
      <c r="Q103" s="51" t="str">
        <f>IF(AND(ISNUMBER($F103),$F103&gt;0,ISNUMBER($G103)),$G103/$F103,"")</f>
        <v/>
      </c>
      <c r="R103" s="51" t="str">
        <f>IF(AND(ISNUMBER($F103),$F103&gt;0,ISNUMBER($H103)),$H103/$F103,"")</f>
        <v/>
      </c>
      <c r="S103" s="52" t="str">
        <f>IF(AND(ISNUMBER($J103),ISNUMBER($L103)),IF($L103&gt;0,$J103/$L103,""),"")</f>
        <v/>
      </c>
      <c r="T103" s="53" t="str">
        <f>IF(ISNUMBER($A103),YEAR($A103)&amp;"-"&amp;TEXT(MONTH($A103),"00"),"")</f>
        <v/>
      </c>
    </row>
    <row r="104">
      <c r="A104" s="47" t="n"/>
      <c r="B104" s="48" t="n"/>
      <c r="C104" s="48" t="n"/>
      <c r="D104" s="48" t="n"/>
      <c r="E104" s="48" t="n"/>
      <c r="F104" s="49" t="n"/>
      <c r="G104" s="49" t="n"/>
      <c r="H104" s="49" t="n"/>
      <c r="I104" s="49" t="n"/>
      <c r="J104" s="49" t="n"/>
      <c r="K104" s="49" t="n"/>
      <c r="L104" s="49" t="n"/>
      <c r="M104" s="49" t="n"/>
      <c r="N104" s="49" t="n"/>
      <c r="O104" s="49" t="n"/>
      <c r="P104" s="50" t="n"/>
      <c r="Q104" s="51" t="str">
        <f>IF(AND(ISNUMBER($F104),$F104&gt;0,ISNUMBER($G104)),$G104/$F104,"")</f>
        <v/>
      </c>
      <c r="R104" s="51" t="str">
        <f>IF(AND(ISNUMBER($F104),$F104&gt;0,ISNUMBER($H104)),$H104/$F104,"")</f>
        <v/>
      </c>
      <c r="S104" s="52" t="str">
        <f>IF(AND(ISNUMBER($J104),ISNUMBER($L104)),IF($L104&gt;0,$J104/$L104,""),"")</f>
        <v/>
      </c>
      <c r="T104" s="53" t="str">
        <f>IF(ISNUMBER($A104),YEAR($A104)&amp;"-"&amp;TEXT(MONTH($A104),"00"),"")</f>
        <v/>
      </c>
    </row>
    <row r="105">
      <c r="A105" s="47" t="n"/>
      <c r="B105" s="48" t="n"/>
      <c r="C105" s="48" t="n"/>
      <c r="D105" s="48" t="n"/>
      <c r="E105" s="48" t="n"/>
      <c r="F105" s="49" t="n"/>
      <c r="G105" s="49" t="n"/>
      <c r="H105" s="49" t="n"/>
      <c r="I105" s="49" t="n"/>
      <c r="J105" s="49" t="n"/>
      <c r="K105" s="49" t="n"/>
      <c r="L105" s="49" t="n"/>
      <c r="M105" s="49" t="n"/>
      <c r="N105" s="49" t="n"/>
      <c r="O105" s="49" t="n"/>
      <c r="P105" s="50" t="n"/>
      <c r="Q105" s="51" t="str">
        <f>IF(AND(ISNUMBER($F105),$F105&gt;0,ISNUMBER($G105)),$G105/$F105,"")</f>
        <v/>
      </c>
      <c r="R105" s="51" t="str">
        <f>IF(AND(ISNUMBER($F105),$F105&gt;0,ISNUMBER($H105)),$H105/$F105,"")</f>
        <v/>
      </c>
      <c r="S105" s="52" t="str">
        <f>IF(AND(ISNUMBER($J105),ISNUMBER($L105)),IF($L105&gt;0,$J105/$L105,""),"")</f>
        <v/>
      </c>
      <c r="T105" s="53" t="str">
        <f>IF(ISNUMBER($A105),YEAR($A105)&amp;"-"&amp;TEXT(MONTH($A105),"00"),"")</f>
        <v/>
      </c>
    </row>
    <row r="106">
      <c r="A106" s="47" t="n"/>
      <c r="B106" s="48" t="n"/>
      <c r="C106" s="48" t="n"/>
      <c r="D106" s="48" t="n"/>
      <c r="E106" s="48" t="n"/>
      <c r="F106" s="49" t="n"/>
      <c r="G106" s="49" t="n"/>
      <c r="H106" s="49" t="n"/>
      <c r="I106" s="49" t="n"/>
      <c r="J106" s="49" t="n"/>
      <c r="K106" s="49" t="n"/>
      <c r="L106" s="49" t="n"/>
      <c r="M106" s="49" t="n"/>
      <c r="N106" s="49" t="n"/>
      <c r="O106" s="49" t="n"/>
      <c r="P106" s="50" t="n"/>
      <c r="Q106" s="51" t="str">
        <f>IF(AND(ISNUMBER($F106),$F106&gt;0,ISNUMBER($G106)),$G106/$F106,"")</f>
        <v/>
      </c>
      <c r="R106" s="51" t="str">
        <f>IF(AND(ISNUMBER($F106),$F106&gt;0,ISNUMBER($H106)),$H106/$F106,"")</f>
        <v/>
      </c>
      <c r="S106" s="52" t="str">
        <f>IF(AND(ISNUMBER($J106),ISNUMBER($L106)),IF($L106&gt;0,$J106/$L106,""),"")</f>
        <v/>
      </c>
      <c r="T106" s="53" t="str">
        <f>IF(ISNUMBER($A106),YEAR($A106)&amp;"-"&amp;TEXT(MONTH($A106),"00"),"")</f>
        <v/>
      </c>
    </row>
    <row r="107">
      <c r="A107" s="47" t="n"/>
      <c r="B107" s="48" t="n"/>
      <c r="C107" s="48" t="n"/>
      <c r="D107" s="48" t="n"/>
      <c r="E107" s="48" t="n"/>
      <c r="F107" s="49" t="n"/>
      <c r="G107" s="49" t="n"/>
      <c r="H107" s="49" t="n"/>
      <c r="I107" s="49" t="n"/>
      <c r="J107" s="49" t="n"/>
      <c r="K107" s="49" t="n"/>
      <c r="L107" s="49" t="n"/>
      <c r="M107" s="49" t="n"/>
      <c r="N107" s="49" t="n"/>
      <c r="O107" s="49" t="n"/>
      <c r="P107" s="50" t="n"/>
      <c r="Q107" s="51" t="str">
        <f>IF(AND(ISNUMBER($F107),$F107&gt;0,ISNUMBER($G107)),$G107/$F107,"")</f>
        <v/>
      </c>
      <c r="R107" s="51" t="str">
        <f>IF(AND(ISNUMBER($F107),$F107&gt;0,ISNUMBER($H107)),$H107/$F107,"")</f>
        <v/>
      </c>
      <c r="S107" s="52" t="str">
        <f>IF(AND(ISNUMBER($J107),ISNUMBER($L107)),IF($L107&gt;0,$J107/$L107,""),"")</f>
        <v/>
      </c>
      <c r="T107" s="53" t="str">
        <f>IF(ISNUMBER($A107),YEAR($A107)&amp;"-"&amp;TEXT(MONTH($A107),"00"),"")</f>
        <v/>
      </c>
    </row>
    <row r="108">
      <c r="A108" s="47" t="n"/>
      <c r="B108" s="48" t="n"/>
      <c r="C108" s="48" t="n"/>
      <c r="D108" s="48" t="n"/>
      <c r="E108" s="48" t="n"/>
      <c r="F108" s="49" t="n"/>
      <c r="G108" s="49" t="n"/>
      <c r="H108" s="49" t="n"/>
      <c r="I108" s="49" t="n"/>
      <c r="J108" s="49" t="n"/>
      <c r="K108" s="49" t="n"/>
      <c r="L108" s="49" t="n"/>
      <c r="M108" s="49" t="n"/>
      <c r="N108" s="49" t="n"/>
      <c r="O108" s="49" t="n"/>
      <c r="P108" s="50" t="n"/>
      <c r="Q108" s="51" t="str">
        <f>IF(AND(ISNUMBER($F108),$F108&gt;0,ISNUMBER($G108)),$G108/$F108,"")</f>
        <v/>
      </c>
      <c r="R108" s="51" t="str">
        <f>IF(AND(ISNUMBER($F108),$F108&gt;0,ISNUMBER($H108)),$H108/$F108,"")</f>
        <v/>
      </c>
      <c r="S108" s="52" t="str">
        <f>IF(AND(ISNUMBER($J108),ISNUMBER($L108)),IF($L108&gt;0,$J108/$L108,""),"")</f>
        <v/>
      </c>
      <c r="T108" s="53" t="str">
        <f>IF(ISNUMBER($A108),YEAR($A108)&amp;"-"&amp;TEXT(MONTH($A108),"00"),"")</f>
        <v/>
      </c>
    </row>
    <row r="109">
      <c r="A109" s="47" t="n"/>
      <c r="B109" s="48" t="n"/>
      <c r="C109" s="48" t="n"/>
      <c r="D109" s="48" t="n"/>
      <c r="E109" s="48" t="n"/>
      <c r="F109" s="49" t="n"/>
      <c r="G109" s="49" t="n"/>
      <c r="H109" s="49" t="n"/>
      <c r="I109" s="49" t="n"/>
      <c r="J109" s="49" t="n"/>
      <c r="K109" s="49" t="n"/>
      <c r="L109" s="49" t="n"/>
      <c r="M109" s="49" t="n"/>
      <c r="N109" s="49" t="n"/>
      <c r="O109" s="49" t="n"/>
      <c r="P109" s="50" t="n"/>
      <c r="Q109" s="51" t="str">
        <f>IF(AND(ISNUMBER($F109),$F109&gt;0,ISNUMBER($G109)),$G109/$F109,"")</f>
        <v/>
      </c>
      <c r="R109" s="51" t="str">
        <f>IF(AND(ISNUMBER($F109),$F109&gt;0,ISNUMBER($H109)),$H109/$F109,"")</f>
        <v/>
      </c>
      <c r="S109" s="52" t="str">
        <f>IF(AND(ISNUMBER($J109),ISNUMBER($L109)),IF($L109&gt;0,$J109/$L109,""),"")</f>
        <v/>
      </c>
      <c r="T109" s="53" t="str">
        <f>IF(ISNUMBER($A109),YEAR($A109)&amp;"-"&amp;TEXT(MONTH($A109),"00"),"")</f>
        <v/>
      </c>
    </row>
    <row r="110">
      <c r="A110" s="47" t="n"/>
      <c r="B110" s="48" t="n"/>
      <c r="C110" s="48" t="n"/>
      <c r="D110" s="48" t="n"/>
      <c r="E110" s="48" t="n"/>
      <c r="F110" s="49" t="n"/>
      <c r="G110" s="49" t="n"/>
      <c r="H110" s="49" t="n"/>
      <c r="I110" s="49" t="n"/>
      <c r="J110" s="49" t="n"/>
      <c r="K110" s="49" t="n"/>
      <c r="L110" s="49" t="n"/>
      <c r="M110" s="49" t="n"/>
      <c r="N110" s="49" t="n"/>
      <c r="O110" s="49" t="n"/>
      <c r="P110" s="50" t="n"/>
      <c r="Q110" s="51" t="str">
        <f>IF(AND(ISNUMBER($F110),$F110&gt;0,ISNUMBER($G110)),$G110/$F110,"")</f>
        <v/>
      </c>
      <c r="R110" s="51" t="str">
        <f>IF(AND(ISNUMBER($F110),$F110&gt;0,ISNUMBER($H110)),$H110/$F110,"")</f>
        <v/>
      </c>
      <c r="S110" s="52" t="str">
        <f>IF(AND(ISNUMBER($J110),ISNUMBER($L110)),IF($L110&gt;0,$J110/$L110,""),"")</f>
        <v/>
      </c>
      <c r="T110" s="53" t="str">
        <f>IF(ISNUMBER($A110),YEAR($A110)&amp;"-"&amp;TEXT(MONTH($A110),"00"),"")</f>
        <v/>
      </c>
    </row>
    <row r="111">
      <c r="A111" s="47" t="n"/>
      <c r="B111" s="48" t="n"/>
      <c r="C111" s="48" t="n"/>
      <c r="D111" s="48" t="n"/>
      <c r="E111" s="48" t="n"/>
      <c r="F111" s="49" t="n"/>
      <c r="G111" s="49" t="n"/>
      <c r="H111" s="49" t="n"/>
      <c r="I111" s="49" t="n"/>
      <c r="J111" s="49" t="n"/>
      <c r="K111" s="49" t="n"/>
      <c r="L111" s="49" t="n"/>
      <c r="M111" s="49" t="n"/>
      <c r="N111" s="49" t="n"/>
      <c r="O111" s="49" t="n"/>
      <c r="P111" s="50" t="n"/>
      <c r="Q111" s="51" t="str">
        <f>IF(AND(ISNUMBER($F111),$F111&gt;0,ISNUMBER($G111)),$G111/$F111,"")</f>
        <v/>
      </c>
      <c r="R111" s="51" t="str">
        <f>IF(AND(ISNUMBER($F111),$F111&gt;0,ISNUMBER($H111)),$H111/$F111,"")</f>
        <v/>
      </c>
      <c r="S111" s="52" t="str">
        <f>IF(AND(ISNUMBER($J111),ISNUMBER($L111)),IF($L111&gt;0,$J111/$L111,""),"")</f>
        <v/>
      </c>
      <c r="T111" s="53" t="str">
        <f>IF(ISNUMBER($A111),YEAR($A111)&amp;"-"&amp;TEXT(MONTH($A111),"00"),"")</f>
        <v/>
      </c>
    </row>
    <row r="112">
      <c r="A112" s="47" t="n"/>
      <c r="B112" s="48" t="n"/>
      <c r="C112" s="48" t="n"/>
      <c r="D112" s="48" t="n"/>
      <c r="E112" s="48" t="n"/>
      <c r="F112" s="49" t="n"/>
      <c r="G112" s="49" t="n"/>
      <c r="H112" s="49" t="n"/>
      <c r="I112" s="49" t="n"/>
      <c r="J112" s="49" t="n"/>
      <c r="K112" s="49" t="n"/>
      <c r="L112" s="49" t="n"/>
      <c r="M112" s="49" t="n"/>
      <c r="N112" s="49" t="n"/>
      <c r="O112" s="49" t="n"/>
      <c r="P112" s="50" t="n"/>
      <c r="Q112" s="51" t="str">
        <f>IF(AND(ISNUMBER($F112),$F112&gt;0,ISNUMBER($G112)),$G112/$F112,"")</f>
        <v/>
      </c>
      <c r="R112" s="51" t="str">
        <f>IF(AND(ISNUMBER($F112),$F112&gt;0,ISNUMBER($H112)),$H112/$F112,"")</f>
        <v/>
      </c>
      <c r="S112" s="52" t="str">
        <f>IF(AND(ISNUMBER($J112),ISNUMBER($L112)),IF($L112&gt;0,$J112/$L112,""),"")</f>
        <v/>
      </c>
      <c r="T112" s="53" t="str">
        <f>IF(ISNUMBER($A112),YEAR($A112)&amp;"-"&amp;TEXT(MONTH($A112),"00"),"")</f>
        <v/>
      </c>
    </row>
    <row r="113">
      <c r="A113" s="47" t="n"/>
      <c r="B113" s="48" t="n"/>
      <c r="C113" s="48" t="n"/>
      <c r="D113" s="48" t="n"/>
      <c r="E113" s="48" t="n"/>
      <c r="F113" s="49" t="n"/>
      <c r="G113" s="49" t="n"/>
      <c r="H113" s="49" t="n"/>
      <c r="I113" s="49" t="n"/>
      <c r="J113" s="49" t="n"/>
      <c r="K113" s="49" t="n"/>
      <c r="L113" s="49" t="n"/>
      <c r="M113" s="49" t="n"/>
      <c r="N113" s="49" t="n"/>
      <c r="O113" s="49" t="n"/>
      <c r="P113" s="50" t="n"/>
      <c r="Q113" s="51" t="str">
        <f>IF(AND(ISNUMBER($F113),$F113&gt;0,ISNUMBER($G113)),$G113/$F113,"")</f>
        <v/>
      </c>
      <c r="R113" s="51" t="str">
        <f>IF(AND(ISNUMBER($F113),$F113&gt;0,ISNUMBER($H113)),$H113/$F113,"")</f>
        <v/>
      </c>
      <c r="S113" s="52" t="str">
        <f>IF(AND(ISNUMBER($J113),ISNUMBER($L113)),IF($L113&gt;0,$J113/$L113,""),"")</f>
        <v/>
      </c>
      <c r="T113" s="53" t="str">
        <f>IF(ISNUMBER($A113),YEAR($A113)&amp;"-"&amp;TEXT(MONTH($A113),"00"),"")</f>
        <v/>
      </c>
    </row>
    <row r="114">
      <c r="A114" s="47" t="n"/>
      <c r="B114" s="48" t="n"/>
      <c r="C114" s="48" t="n"/>
      <c r="D114" s="48" t="n"/>
      <c r="E114" s="48" t="n"/>
      <c r="F114" s="49" t="n"/>
      <c r="G114" s="49" t="n"/>
      <c r="H114" s="49" t="n"/>
      <c r="I114" s="49" t="n"/>
      <c r="J114" s="49" t="n"/>
      <c r="K114" s="49" t="n"/>
      <c r="L114" s="49" t="n"/>
      <c r="M114" s="49" t="n"/>
      <c r="N114" s="49" t="n"/>
      <c r="O114" s="49" t="n"/>
      <c r="P114" s="50" t="n"/>
      <c r="Q114" s="51" t="str">
        <f>IF(AND(ISNUMBER($F114),$F114&gt;0,ISNUMBER($G114)),$G114/$F114,"")</f>
        <v/>
      </c>
      <c r="R114" s="51" t="str">
        <f>IF(AND(ISNUMBER($F114),$F114&gt;0,ISNUMBER($H114)),$H114/$F114,"")</f>
        <v/>
      </c>
      <c r="S114" s="52" t="str">
        <f>IF(AND(ISNUMBER($J114),ISNUMBER($L114)),IF($L114&gt;0,$J114/$L114,""),"")</f>
        <v/>
      </c>
      <c r="T114" s="53" t="str">
        <f>IF(ISNUMBER($A114),YEAR($A114)&amp;"-"&amp;TEXT(MONTH($A114),"00"),"")</f>
        <v/>
      </c>
    </row>
    <row r="115">
      <c r="A115" s="47" t="n"/>
      <c r="B115" s="48" t="n"/>
      <c r="C115" s="48" t="n"/>
      <c r="D115" s="48" t="n"/>
      <c r="E115" s="48" t="n"/>
      <c r="F115" s="49" t="n"/>
      <c r="G115" s="49" t="n"/>
      <c r="H115" s="49" t="n"/>
      <c r="I115" s="49" t="n"/>
      <c r="J115" s="49" t="n"/>
      <c r="K115" s="49" t="n"/>
      <c r="L115" s="49" t="n"/>
      <c r="M115" s="49" t="n"/>
      <c r="N115" s="49" t="n"/>
      <c r="O115" s="49" t="n"/>
      <c r="P115" s="50" t="n"/>
      <c r="Q115" s="51" t="str">
        <f>IF(AND(ISNUMBER($F115),$F115&gt;0,ISNUMBER($G115)),$G115/$F115,"")</f>
        <v/>
      </c>
      <c r="R115" s="51" t="str">
        <f>IF(AND(ISNUMBER($F115),$F115&gt;0,ISNUMBER($H115)),$H115/$F115,"")</f>
        <v/>
      </c>
      <c r="S115" s="52" t="str">
        <f>IF(AND(ISNUMBER($J115),ISNUMBER($L115)),IF($L115&gt;0,$J115/$L115,""),"")</f>
        <v/>
      </c>
      <c r="T115" s="53" t="str">
        <f>IF(ISNUMBER($A115),YEAR($A115)&amp;"-"&amp;TEXT(MONTH($A115),"00"),"")</f>
        <v/>
      </c>
    </row>
    <row r="116">
      <c r="A116" s="47" t="n"/>
      <c r="B116" s="48" t="n"/>
      <c r="C116" s="48" t="n"/>
      <c r="D116" s="48" t="n"/>
      <c r="E116" s="48" t="n"/>
      <c r="F116" s="49" t="n"/>
      <c r="G116" s="49" t="n"/>
      <c r="H116" s="49" t="n"/>
      <c r="I116" s="49" t="n"/>
      <c r="J116" s="49" t="n"/>
      <c r="K116" s="49" t="n"/>
      <c r="L116" s="49" t="n"/>
      <c r="M116" s="49" t="n"/>
      <c r="N116" s="49" t="n"/>
      <c r="O116" s="49" t="n"/>
      <c r="P116" s="50" t="n"/>
      <c r="Q116" s="51" t="str">
        <f>IF(AND(ISNUMBER($F116),$F116&gt;0,ISNUMBER($G116)),$G116/$F116,"")</f>
        <v/>
      </c>
      <c r="R116" s="51" t="str">
        <f>IF(AND(ISNUMBER($F116),$F116&gt;0,ISNUMBER($H116)),$H116/$F116,"")</f>
        <v/>
      </c>
      <c r="S116" s="52" t="str">
        <f>IF(AND(ISNUMBER($J116),ISNUMBER($L116)),IF($L116&gt;0,$J116/$L116,""),"")</f>
        <v/>
      </c>
      <c r="T116" s="53" t="str">
        <f>IF(ISNUMBER($A116),YEAR($A116)&amp;"-"&amp;TEXT(MONTH($A116),"00"),"")</f>
        <v/>
      </c>
    </row>
    <row r="117">
      <c r="A117" s="47" t="n"/>
      <c r="B117" s="48" t="n"/>
      <c r="C117" s="48" t="n"/>
      <c r="D117" s="48" t="n"/>
      <c r="E117" s="48" t="n"/>
      <c r="F117" s="49" t="n"/>
      <c r="G117" s="49" t="n"/>
      <c r="H117" s="49" t="n"/>
      <c r="I117" s="49" t="n"/>
      <c r="J117" s="49" t="n"/>
      <c r="K117" s="49" t="n"/>
      <c r="L117" s="49" t="n"/>
      <c r="M117" s="49" t="n"/>
      <c r="N117" s="49" t="n"/>
      <c r="O117" s="49" t="n"/>
      <c r="P117" s="50" t="n"/>
      <c r="Q117" s="51" t="str">
        <f>IF(AND(ISNUMBER($F117),$F117&gt;0,ISNUMBER($G117)),$G117/$F117,"")</f>
        <v/>
      </c>
      <c r="R117" s="51" t="str">
        <f>IF(AND(ISNUMBER($F117),$F117&gt;0,ISNUMBER($H117)),$H117/$F117,"")</f>
        <v/>
      </c>
      <c r="S117" s="52" t="str">
        <f>IF(AND(ISNUMBER($J117),ISNUMBER($L117)),IF($L117&gt;0,$J117/$L117,""),"")</f>
        <v/>
      </c>
      <c r="T117" s="53" t="str">
        <f>IF(ISNUMBER($A117),YEAR($A117)&amp;"-"&amp;TEXT(MONTH($A117),"00"),"")</f>
        <v/>
      </c>
    </row>
    <row r="118">
      <c r="A118" s="47" t="n"/>
      <c r="B118" s="48" t="n"/>
      <c r="C118" s="48" t="n"/>
      <c r="D118" s="48" t="n"/>
      <c r="E118" s="48" t="n"/>
      <c r="F118" s="49" t="n"/>
      <c r="G118" s="49" t="n"/>
      <c r="H118" s="49" t="n"/>
      <c r="I118" s="49" t="n"/>
      <c r="J118" s="49" t="n"/>
      <c r="K118" s="49" t="n"/>
      <c r="L118" s="49" t="n"/>
      <c r="M118" s="49" t="n"/>
      <c r="N118" s="49" t="n"/>
      <c r="O118" s="49" t="n"/>
      <c r="P118" s="50" t="n"/>
      <c r="Q118" s="51" t="str">
        <f>IF(AND(ISNUMBER($F118),$F118&gt;0,ISNUMBER($G118)),$G118/$F118,"")</f>
        <v/>
      </c>
      <c r="R118" s="51" t="str">
        <f>IF(AND(ISNUMBER($F118),$F118&gt;0,ISNUMBER($H118)),$H118/$F118,"")</f>
        <v/>
      </c>
      <c r="S118" s="52" t="str">
        <f>IF(AND(ISNUMBER($J118),ISNUMBER($L118)),IF($L118&gt;0,$J118/$L118,""),"")</f>
        <v/>
      </c>
      <c r="T118" s="53" t="str">
        <f>IF(ISNUMBER($A118),YEAR($A118)&amp;"-"&amp;TEXT(MONTH($A118),"00"),"")</f>
        <v/>
      </c>
    </row>
    <row r="119">
      <c r="A119" s="47" t="n"/>
      <c r="B119" s="48" t="n"/>
      <c r="C119" s="48" t="n"/>
      <c r="D119" s="48" t="n"/>
      <c r="E119" s="48" t="n"/>
      <c r="F119" s="49" t="n"/>
      <c r="G119" s="49" t="n"/>
      <c r="H119" s="49" t="n"/>
      <c r="I119" s="49" t="n"/>
      <c r="J119" s="49" t="n"/>
      <c r="K119" s="49" t="n"/>
      <c r="L119" s="49" t="n"/>
      <c r="M119" s="49" t="n"/>
      <c r="N119" s="49" t="n"/>
      <c r="O119" s="49" t="n"/>
      <c r="P119" s="50" t="n"/>
      <c r="Q119" s="51" t="str">
        <f>IF(AND(ISNUMBER($F119),$F119&gt;0,ISNUMBER($G119)),$G119/$F119,"")</f>
        <v/>
      </c>
      <c r="R119" s="51" t="str">
        <f>IF(AND(ISNUMBER($F119),$F119&gt;0,ISNUMBER($H119)),$H119/$F119,"")</f>
        <v/>
      </c>
      <c r="S119" s="52" t="str">
        <f>IF(AND(ISNUMBER($J119),ISNUMBER($L119)),IF($L119&gt;0,$J119/$L119,""),"")</f>
        <v/>
      </c>
      <c r="T119" s="53" t="str">
        <f>IF(ISNUMBER($A119),YEAR($A119)&amp;"-"&amp;TEXT(MONTH($A119),"00"),"")</f>
        <v/>
      </c>
    </row>
    <row r="120">
      <c r="A120" s="47" t="n"/>
      <c r="B120" s="48" t="n"/>
      <c r="C120" s="48" t="n"/>
      <c r="D120" s="48" t="n"/>
      <c r="E120" s="48" t="n"/>
      <c r="F120" s="49" t="n"/>
      <c r="G120" s="49" t="n"/>
      <c r="H120" s="49" t="n"/>
      <c r="I120" s="49" t="n"/>
      <c r="J120" s="49" t="n"/>
      <c r="K120" s="49" t="n"/>
      <c r="L120" s="49" t="n"/>
      <c r="M120" s="49" t="n"/>
      <c r="N120" s="49" t="n"/>
      <c r="O120" s="49" t="n"/>
      <c r="P120" s="50" t="n"/>
      <c r="Q120" s="51" t="str">
        <f>IF(AND(ISNUMBER($F120),$F120&gt;0,ISNUMBER($G120)),$G120/$F120,"")</f>
        <v/>
      </c>
      <c r="R120" s="51" t="str">
        <f>IF(AND(ISNUMBER($F120),$F120&gt;0,ISNUMBER($H120)),$H120/$F120,"")</f>
        <v/>
      </c>
      <c r="S120" s="52" t="str">
        <f>IF(AND(ISNUMBER($J120),ISNUMBER($L120)),IF($L120&gt;0,$J120/$L120,""),"")</f>
        <v/>
      </c>
      <c r="T120" s="53" t="str">
        <f>IF(ISNUMBER($A120),YEAR($A120)&amp;"-"&amp;TEXT(MONTH($A120),"00"),"")</f>
        <v/>
      </c>
    </row>
    <row r="121">
      <c r="A121" s="47" t="n"/>
      <c r="B121" s="48" t="n"/>
      <c r="C121" s="48" t="n"/>
      <c r="D121" s="48" t="n"/>
      <c r="E121" s="48" t="n"/>
      <c r="F121" s="49" t="n"/>
      <c r="G121" s="49" t="n"/>
      <c r="H121" s="49" t="n"/>
      <c r="I121" s="49" t="n"/>
      <c r="J121" s="49" t="n"/>
      <c r="K121" s="49" t="n"/>
      <c r="L121" s="49" t="n"/>
      <c r="M121" s="49" t="n"/>
      <c r="N121" s="49" t="n"/>
      <c r="O121" s="49" t="n"/>
      <c r="P121" s="50" t="n"/>
      <c r="Q121" s="51" t="str">
        <f>IF(AND(ISNUMBER($F121),$F121&gt;0,ISNUMBER($G121)),$G121/$F121,"")</f>
        <v/>
      </c>
      <c r="R121" s="51" t="str">
        <f>IF(AND(ISNUMBER($F121),$F121&gt;0,ISNUMBER($H121)),$H121/$F121,"")</f>
        <v/>
      </c>
      <c r="S121" s="52" t="str">
        <f>IF(AND(ISNUMBER($J121),ISNUMBER($L121)),IF($L121&gt;0,$J121/$L121,""),"")</f>
        <v/>
      </c>
      <c r="T121" s="53" t="str">
        <f>IF(ISNUMBER($A121),YEAR($A121)&amp;"-"&amp;TEXT(MONTH($A121),"00"),"")</f>
        <v/>
      </c>
    </row>
    <row r="122">
      <c r="A122" s="47" t="n"/>
      <c r="B122" s="48" t="n"/>
      <c r="C122" s="48" t="n"/>
      <c r="D122" s="48" t="n"/>
      <c r="E122" s="48" t="n"/>
      <c r="F122" s="49" t="n"/>
      <c r="G122" s="49" t="n"/>
      <c r="H122" s="49" t="n"/>
      <c r="I122" s="49" t="n"/>
      <c r="J122" s="49" t="n"/>
      <c r="K122" s="49" t="n"/>
      <c r="L122" s="49" t="n"/>
      <c r="M122" s="49" t="n"/>
      <c r="N122" s="49" t="n"/>
      <c r="O122" s="49" t="n"/>
      <c r="P122" s="50" t="n"/>
      <c r="Q122" s="51" t="str">
        <f>IF(AND(ISNUMBER($F122),$F122&gt;0,ISNUMBER($G122)),$G122/$F122,"")</f>
        <v/>
      </c>
      <c r="R122" s="51" t="str">
        <f>IF(AND(ISNUMBER($F122),$F122&gt;0,ISNUMBER($H122)),$H122/$F122,"")</f>
        <v/>
      </c>
      <c r="S122" s="52" t="str">
        <f>IF(AND(ISNUMBER($J122),ISNUMBER($L122)),IF($L122&gt;0,$J122/$L122,""),"")</f>
        <v/>
      </c>
      <c r="T122" s="53" t="str">
        <f>IF(ISNUMBER($A122),YEAR($A122)&amp;"-"&amp;TEXT(MONTH($A122),"00"),"")</f>
        <v/>
      </c>
    </row>
    <row r="123">
      <c r="A123" s="47" t="n"/>
      <c r="B123" s="48" t="n"/>
      <c r="C123" s="48" t="n"/>
      <c r="D123" s="48" t="n"/>
      <c r="E123" s="48" t="n"/>
      <c r="F123" s="49" t="n"/>
      <c r="G123" s="49" t="n"/>
      <c r="H123" s="49" t="n"/>
      <c r="I123" s="49" t="n"/>
      <c r="J123" s="49" t="n"/>
      <c r="K123" s="49" t="n"/>
      <c r="L123" s="49" t="n"/>
      <c r="M123" s="49" t="n"/>
      <c r="N123" s="49" t="n"/>
      <c r="O123" s="49" t="n"/>
      <c r="P123" s="50" t="n"/>
      <c r="Q123" s="51" t="str">
        <f>IF(AND(ISNUMBER($F123),$F123&gt;0,ISNUMBER($G123)),$G123/$F123,"")</f>
        <v/>
      </c>
      <c r="R123" s="51" t="str">
        <f>IF(AND(ISNUMBER($F123),$F123&gt;0,ISNUMBER($H123)),$H123/$F123,"")</f>
        <v/>
      </c>
      <c r="S123" s="52" t="str">
        <f>IF(AND(ISNUMBER($J123),ISNUMBER($L123)),IF($L123&gt;0,$J123/$L123,""),"")</f>
        <v/>
      </c>
      <c r="T123" s="53" t="str">
        <f>IF(ISNUMBER($A123),YEAR($A123)&amp;"-"&amp;TEXT(MONTH($A123),"00"),"")</f>
        <v/>
      </c>
    </row>
    <row r="124">
      <c r="A124" s="47" t="n"/>
      <c r="B124" s="48" t="n"/>
      <c r="C124" s="48" t="n"/>
      <c r="D124" s="48" t="n"/>
      <c r="E124" s="48" t="n"/>
      <c r="F124" s="49" t="n"/>
      <c r="G124" s="49" t="n"/>
      <c r="H124" s="49" t="n"/>
      <c r="I124" s="49" t="n"/>
      <c r="J124" s="49" t="n"/>
      <c r="K124" s="49" t="n"/>
      <c r="L124" s="49" t="n"/>
      <c r="M124" s="49" t="n"/>
      <c r="N124" s="49" t="n"/>
      <c r="O124" s="49" t="n"/>
      <c r="P124" s="50" t="n"/>
      <c r="Q124" s="51" t="str">
        <f>IF(AND(ISNUMBER($F124),$F124&gt;0,ISNUMBER($G124)),$G124/$F124,"")</f>
        <v/>
      </c>
      <c r="R124" s="51" t="str">
        <f>IF(AND(ISNUMBER($F124),$F124&gt;0,ISNUMBER($H124)),$H124/$F124,"")</f>
        <v/>
      </c>
      <c r="S124" s="52" t="str">
        <f>IF(AND(ISNUMBER($J124),ISNUMBER($L124)),IF($L124&gt;0,$J124/$L124,""),"")</f>
        <v/>
      </c>
      <c r="T124" s="53" t="str">
        <f>IF(ISNUMBER($A124),YEAR($A124)&amp;"-"&amp;TEXT(MONTH($A124),"00"),"")</f>
        <v/>
      </c>
    </row>
    <row r="125">
      <c r="A125" s="47" t="n"/>
      <c r="B125" s="48" t="n"/>
      <c r="C125" s="48" t="n"/>
      <c r="D125" s="48" t="n"/>
      <c r="E125" s="48" t="n"/>
      <c r="F125" s="49" t="n"/>
      <c r="G125" s="49" t="n"/>
      <c r="H125" s="49" t="n"/>
      <c r="I125" s="49" t="n"/>
      <c r="J125" s="49" t="n"/>
      <c r="K125" s="49" t="n"/>
      <c r="L125" s="49" t="n"/>
      <c r="M125" s="49" t="n"/>
      <c r="N125" s="49" t="n"/>
      <c r="O125" s="49" t="n"/>
      <c r="P125" s="50" t="n"/>
      <c r="Q125" s="51" t="str">
        <f>IF(AND(ISNUMBER($F125),$F125&gt;0,ISNUMBER($G125)),$G125/$F125,"")</f>
        <v/>
      </c>
      <c r="R125" s="51" t="str">
        <f>IF(AND(ISNUMBER($F125),$F125&gt;0,ISNUMBER($H125)),$H125/$F125,"")</f>
        <v/>
      </c>
      <c r="S125" s="52" t="str">
        <f>IF(AND(ISNUMBER($J125),ISNUMBER($L125)),IF($L125&gt;0,$J125/$L125,""),"")</f>
        <v/>
      </c>
      <c r="T125" s="53" t="str">
        <f>IF(ISNUMBER($A125),YEAR($A125)&amp;"-"&amp;TEXT(MONTH($A125),"00"),"")</f>
        <v/>
      </c>
    </row>
    <row r="126">
      <c r="A126" s="47" t="n"/>
      <c r="B126" s="48" t="n"/>
      <c r="C126" s="48" t="n"/>
      <c r="D126" s="48" t="n"/>
      <c r="E126" s="48" t="n"/>
      <c r="F126" s="49" t="n"/>
      <c r="G126" s="49" t="n"/>
      <c r="H126" s="49" t="n"/>
      <c r="I126" s="49" t="n"/>
      <c r="J126" s="49" t="n"/>
      <c r="K126" s="49" t="n"/>
      <c r="L126" s="49" t="n"/>
      <c r="M126" s="49" t="n"/>
      <c r="N126" s="49" t="n"/>
      <c r="O126" s="49" t="n"/>
      <c r="P126" s="50" t="n"/>
      <c r="Q126" s="51" t="str">
        <f>IF(AND(ISNUMBER($F126),$F126&gt;0,ISNUMBER($G126)),$G126/$F126,"")</f>
        <v/>
      </c>
      <c r="R126" s="51" t="str">
        <f>IF(AND(ISNUMBER($F126),$F126&gt;0,ISNUMBER($H126)),$H126/$F126,"")</f>
        <v/>
      </c>
      <c r="S126" s="52" t="str">
        <f>IF(AND(ISNUMBER($J126),ISNUMBER($L126)),IF($L126&gt;0,$J126/$L126,""),"")</f>
        <v/>
      </c>
      <c r="T126" s="53" t="str">
        <f>IF(ISNUMBER($A126),YEAR($A126)&amp;"-"&amp;TEXT(MONTH($A126),"00"),"")</f>
        <v/>
      </c>
    </row>
    <row r="127">
      <c r="A127" s="47" t="n"/>
      <c r="B127" s="48" t="n"/>
      <c r="C127" s="48" t="n"/>
      <c r="D127" s="48" t="n"/>
      <c r="E127" s="48" t="n"/>
      <c r="F127" s="49" t="n"/>
      <c r="G127" s="49" t="n"/>
      <c r="H127" s="49" t="n"/>
      <c r="I127" s="49" t="n"/>
      <c r="J127" s="49" t="n"/>
      <c r="K127" s="49" t="n"/>
      <c r="L127" s="49" t="n"/>
      <c r="M127" s="49" t="n"/>
      <c r="N127" s="49" t="n"/>
      <c r="O127" s="49" t="n"/>
      <c r="P127" s="50" t="n"/>
      <c r="Q127" s="51" t="str">
        <f>IF(AND(ISNUMBER($F127),$F127&gt;0,ISNUMBER($G127)),$G127/$F127,"")</f>
        <v/>
      </c>
      <c r="R127" s="51" t="str">
        <f>IF(AND(ISNUMBER($F127),$F127&gt;0,ISNUMBER($H127)),$H127/$F127,"")</f>
        <v/>
      </c>
      <c r="S127" s="52" t="str">
        <f>IF(AND(ISNUMBER($J127),ISNUMBER($L127)),IF($L127&gt;0,$J127/$L127,""),"")</f>
        <v/>
      </c>
      <c r="T127" s="53" t="str">
        <f>IF(ISNUMBER($A127),YEAR($A127)&amp;"-"&amp;TEXT(MONTH($A127),"00"),"")</f>
        <v/>
      </c>
    </row>
    <row r="128">
      <c r="A128" s="47" t="n"/>
      <c r="B128" s="48" t="n"/>
      <c r="C128" s="48" t="n"/>
      <c r="D128" s="48" t="n"/>
      <c r="E128" s="48" t="n"/>
      <c r="F128" s="49" t="n"/>
      <c r="G128" s="49" t="n"/>
      <c r="H128" s="49" t="n"/>
      <c r="I128" s="49" t="n"/>
      <c r="J128" s="49" t="n"/>
      <c r="K128" s="49" t="n"/>
      <c r="L128" s="49" t="n"/>
      <c r="M128" s="49" t="n"/>
      <c r="N128" s="49" t="n"/>
      <c r="O128" s="49" t="n"/>
      <c r="P128" s="50" t="n"/>
      <c r="Q128" s="51" t="str">
        <f>IF(AND(ISNUMBER($F128),$F128&gt;0,ISNUMBER($G128)),$G128/$F128,"")</f>
        <v/>
      </c>
      <c r="R128" s="51" t="str">
        <f>IF(AND(ISNUMBER($F128),$F128&gt;0,ISNUMBER($H128)),$H128/$F128,"")</f>
        <v/>
      </c>
      <c r="S128" s="52" t="str">
        <f>IF(AND(ISNUMBER($J128),ISNUMBER($L128)),IF($L128&gt;0,$J128/$L128,""),"")</f>
        <v/>
      </c>
      <c r="T128" s="53" t="str">
        <f>IF(ISNUMBER($A128),YEAR($A128)&amp;"-"&amp;TEXT(MONTH($A128),"00"),"")</f>
        <v/>
      </c>
    </row>
    <row r="129">
      <c r="A129" s="47" t="n"/>
      <c r="B129" s="48" t="n"/>
      <c r="C129" s="48" t="n"/>
      <c r="D129" s="48" t="n"/>
      <c r="E129" s="48" t="n"/>
      <c r="F129" s="49" t="n"/>
      <c r="G129" s="49" t="n"/>
      <c r="H129" s="49" t="n"/>
      <c r="I129" s="49" t="n"/>
      <c r="J129" s="49" t="n"/>
      <c r="K129" s="49" t="n"/>
      <c r="L129" s="49" t="n"/>
      <c r="M129" s="49" t="n"/>
      <c r="N129" s="49" t="n"/>
      <c r="O129" s="49" t="n"/>
      <c r="P129" s="50" t="n"/>
      <c r="Q129" s="51" t="str">
        <f>IF(AND(ISNUMBER($F129),$F129&gt;0,ISNUMBER($G129)),$G129/$F129,"")</f>
        <v/>
      </c>
      <c r="R129" s="51" t="str">
        <f>IF(AND(ISNUMBER($F129),$F129&gt;0,ISNUMBER($H129)),$H129/$F129,"")</f>
        <v/>
      </c>
      <c r="S129" s="52" t="str">
        <f>IF(AND(ISNUMBER($J129),ISNUMBER($L129)),IF($L129&gt;0,$J129/$L129,""),"")</f>
        <v/>
      </c>
      <c r="T129" s="53" t="str">
        <f>IF(ISNUMBER($A129),YEAR($A129)&amp;"-"&amp;TEXT(MONTH($A129),"00"),"")</f>
        <v/>
      </c>
    </row>
    <row r="130">
      <c r="A130" s="47" t="n"/>
      <c r="B130" s="48" t="n"/>
      <c r="C130" s="48" t="n"/>
      <c r="D130" s="48" t="n"/>
      <c r="E130" s="48" t="n"/>
      <c r="F130" s="49" t="n"/>
      <c r="G130" s="49" t="n"/>
      <c r="H130" s="49" t="n"/>
      <c r="I130" s="49" t="n"/>
      <c r="J130" s="49" t="n"/>
      <c r="K130" s="49" t="n"/>
      <c r="L130" s="49" t="n"/>
      <c r="M130" s="49" t="n"/>
      <c r="N130" s="49" t="n"/>
      <c r="O130" s="49" t="n"/>
      <c r="P130" s="50" t="n"/>
      <c r="Q130" s="51" t="str">
        <f>IF(AND(ISNUMBER($F130),$F130&gt;0,ISNUMBER($G130)),$G130/$F130,"")</f>
        <v/>
      </c>
      <c r="R130" s="51" t="str">
        <f>IF(AND(ISNUMBER($F130),$F130&gt;0,ISNUMBER($H130)),$H130/$F130,"")</f>
        <v/>
      </c>
      <c r="S130" s="52" t="str">
        <f>IF(AND(ISNUMBER($J130),ISNUMBER($L130)),IF($L130&gt;0,$J130/$L130,""),"")</f>
        <v/>
      </c>
      <c r="T130" s="53" t="str">
        <f>IF(ISNUMBER($A130),YEAR($A130)&amp;"-"&amp;TEXT(MONTH($A130),"00"),"")</f>
        <v/>
      </c>
    </row>
    <row r="131">
      <c r="A131" s="47" t="n"/>
      <c r="B131" s="48" t="n"/>
      <c r="C131" s="48" t="n"/>
      <c r="D131" s="48" t="n"/>
      <c r="E131" s="48" t="n"/>
      <c r="F131" s="49" t="n"/>
      <c r="G131" s="49" t="n"/>
      <c r="H131" s="49" t="n"/>
      <c r="I131" s="49" t="n"/>
      <c r="J131" s="49" t="n"/>
      <c r="K131" s="49" t="n"/>
      <c r="L131" s="49" t="n"/>
      <c r="M131" s="49" t="n"/>
      <c r="N131" s="49" t="n"/>
      <c r="O131" s="49" t="n"/>
      <c r="P131" s="50" t="n"/>
      <c r="Q131" s="51" t="str">
        <f>IF(AND(ISNUMBER($F131),$F131&gt;0,ISNUMBER($G131)),$G131/$F131,"")</f>
        <v/>
      </c>
      <c r="R131" s="51" t="str">
        <f>IF(AND(ISNUMBER($F131),$F131&gt;0,ISNUMBER($H131)),$H131/$F131,"")</f>
        <v/>
      </c>
      <c r="S131" s="52" t="str">
        <f>IF(AND(ISNUMBER($J131),ISNUMBER($L131)),IF($L131&gt;0,$J131/$L131,""),"")</f>
        <v/>
      </c>
      <c r="T131" s="53" t="str">
        <f>IF(ISNUMBER($A131),YEAR($A131)&amp;"-"&amp;TEXT(MONTH($A131),"00"),"")</f>
        <v/>
      </c>
    </row>
    <row r="132">
      <c r="A132" s="47" t="n"/>
      <c r="B132" s="48" t="n"/>
      <c r="C132" s="48" t="n"/>
      <c r="D132" s="48" t="n"/>
      <c r="E132" s="48" t="n"/>
      <c r="F132" s="49" t="n"/>
      <c r="G132" s="49" t="n"/>
      <c r="H132" s="49" t="n"/>
      <c r="I132" s="49" t="n"/>
      <c r="J132" s="49" t="n"/>
      <c r="K132" s="49" t="n"/>
      <c r="L132" s="49" t="n"/>
      <c r="M132" s="49" t="n"/>
      <c r="N132" s="49" t="n"/>
      <c r="O132" s="49" t="n"/>
      <c r="P132" s="50" t="n"/>
      <c r="Q132" s="51" t="str">
        <f>IF(AND(ISNUMBER($F132),$F132&gt;0,ISNUMBER($G132)),$G132/$F132,"")</f>
        <v/>
      </c>
      <c r="R132" s="51" t="str">
        <f>IF(AND(ISNUMBER($F132),$F132&gt;0,ISNUMBER($H132)),$H132/$F132,"")</f>
        <v/>
      </c>
      <c r="S132" s="52" t="str">
        <f>IF(AND(ISNUMBER($J132),ISNUMBER($L132)),IF($L132&gt;0,$J132/$L132,""),"")</f>
        <v/>
      </c>
      <c r="T132" s="53" t="str">
        <f>IF(ISNUMBER($A132),YEAR($A132)&amp;"-"&amp;TEXT(MONTH($A132),"00"),"")</f>
        <v/>
      </c>
    </row>
    <row r="133">
      <c r="A133" s="47" t="n"/>
      <c r="B133" s="48" t="n"/>
      <c r="C133" s="48" t="n"/>
      <c r="D133" s="48" t="n"/>
      <c r="E133" s="48" t="n"/>
      <c r="F133" s="49" t="n"/>
      <c r="G133" s="49" t="n"/>
      <c r="H133" s="49" t="n"/>
      <c r="I133" s="49" t="n"/>
      <c r="J133" s="49" t="n"/>
      <c r="K133" s="49" t="n"/>
      <c r="L133" s="49" t="n"/>
      <c r="M133" s="49" t="n"/>
      <c r="N133" s="49" t="n"/>
      <c r="O133" s="49" t="n"/>
      <c r="P133" s="50" t="n"/>
      <c r="Q133" s="51" t="str">
        <f>IF(AND(ISNUMBER($F133),$F133&gt;0,ISNUMBER($G133)),$G133/$F133,"")</f>
        <v/>
      </c>
      <c r="R133" s="51" t="str">
        <f>IF(AND(ISNUMBER($F133),$F133&gt;0,ISNUMBER($H133)),$H133/$F133,"")</f>
        <v/>
      </c>
      <c r="S133" s="52" t="str">
        <f>IF(AND(ISNUMBER($J133),ISNUMBER($L133)),IF($L133&gt;0,$J133/$L133,""),"")</f>
        <v/>
      </c>
      <c r="T133" s="53" t="str">
        <f>IF(ISNUMBER($A133),YEAR($A133)&amp;"-"&amp;TEXT(MONTH($A133),"00"),"")</f>
        <v/>
      </c>
    </row>
    <row r="134">
      <c r="A134" s="47" t="n"/>
      <c r="B134" s="48" t="n"/>
      <c r="C134" s="48" t="n"/>
      <c r="D134" s="48" t="n"/>
      <c r="E134" s="48" t="n"/>
      <c r="F134" s="49" t="n"/>
      <c r="G134" s="49" t="n"/>
      <c r="H134" s="49" t="n"/>
      <c r="I134" s="49" t="n"/>
      <c r="J134" s="49" t="n"/>
      <c r="K134" s="49" t="n"/>
      <c r="L134" s="49" t="n"/>
      <c r="M134" s="49" t="n"/>
      <c r="N134" s="49" t="n"/>
      <c r="O134" s="49" t="n"/>
      <c r="P134" s="50" t="n"/>
      <c r="Q134" s="51" t="str">
        <f>IF(AND(ISNUMBER($F134),$F134&gt;0,ISNUMBER($G134)),$G134/$F134,"")</f>
        <v/>
      </c>
      <c r="R134" s="51" t="str">
        <f>IF(AND(ISNUMBER($F134),$F134&gt;0,ISNUMBER($H134)),$H134/$F134,"")</f>
        <v/>
      </c>
      <c r="S134" s="52" t="str">
        <f>IF(AND(ISNUMBER($J134),ISNUMBER($L134)),IF($L134&gt;0,$J134/$L134,""),"")</f>
        <v/>
      </c>
      <c r="T134" s="53" t="str">
        <f>IF(ISNUMBER($A134),YEAR($A134)&amp;"-"&amp;TEXT(MONTH($A134),"00"),"")</f>
        <v/>
      </c>
    </row>
    <row r="135">
      <c r="A135" s="47" t="n"/>
      <c r="B135" s="48" t="n"/>
      <c r="C135" s="48" t="n"/>
      <c r="D135" s="48" t="n"/>
      <c r="E135" s="48" t="n"/>
      <c r="F135" s="49" t="n"/>
      <c r="G135" s="49" t="n"/>
      <c r="H135" s="49" t="n"/>
      <c r="I135" s="49" t="n"/>
      <c r="J135" s="49" t="n"/>
      <c r="K135" s="49" t="n"/>
      <c r="L135" s="49" t="n"/>
      <c r="M135" s="49" t="n"/>
      <c r="N135" s="49" t="n"/>
      <c r="O135" s="49" t="n"/>
      <c r="P135" s="50" t="n"/>
      <c r="Q135" s="51" t="str">
        <f>IF(AND(ISNUMBER($F135),$F135&gt;0,ISNUMBER($G135)),$G135/$F135,"")</f>
        <v/>
      </c>
      <c r="R135" s="51" t="str">
        <f>IF(AND(ISNUMBER($F135),$F135&gt;0,ISNUMBER($H135)),$H135/$F135,"")</f>
        <v/>
      </c>
      <c r="S135" s="52" t="str">
        <f>IF(AND(ISNUMBER($J135),ISNUMBER($L135)),IF($L135&gt;0,$J135/$L135,""),"")</f>
        <v/>
      </c>
      <c r="T135" s="53" t="str">
        <f>IF(ISNUMBER($A135),YEAR($A135)&amp;"-"&amp;TEXT(MONTH($A135),"00"),"")</f>
        <v/>
      </c>
    </row>
    <row r="136">
      <c r="A136" s="47" t="n"/>
      <c r="B136" s="48" t="n"/>
      <c r="C136" s="48" t="n"/>
      <c r="D136" s="48" t="n"/>
      <c r="E136" s="48" t="n"/>
      <c r="F136" s="49" t="n"/>
      <c r="G136" s="49" t="n"/>
      <c r="H136" s="49" t="n"/>
      <c r="I136" s="49" t="n"/>
      <c r="J136" s="49" t="n"/>
      <c r="K136" s="49" t="n"/>
      <c r="L136" s="49" t="n"/>
      <c r="M136" s="49" t="n"/>
      <c r="N136" s="49" t="n"/>
      <c r="O136" s="49" t="n"/>
      <c r="P136" s="50" t="n"/>
      <c r="Q136" s="51" t="str">
        <f>IF(AND(ISNUMBER($F136),$F136&gt;0,ISNUMBER($G136)),$G136/$F136,"")</f>
        <v/>
      </c>
      <c r="R136" s="51" t="str">
        <f>IF(AND(ISNUMBER($F136),$F136&gt;0,ISNUMBER($H136)),$H136/$F136,"")</f>
        <v/>
      </c>
      <c r="S136" s="52" t="str">
        <f>IF(AND(ISNUMBER($J136),ISNUMBER($L136)),IF($L136&gt;0,$J136/$L136,""),"")</f>
        <v/>
      </c>
      <c r="T136" s="53" t="str">
        <f>IF(ISNUMBER($A136),YEAR($A136)&amp;"-"&amp;TEXT(MONTH($A136),"00"),"")</f>
        <v/>
      </c>
    </row>
    <row r="137">
      <c r="A137" s="47" t="n"/>
      <c r="B137" s="48" t="n"/>
      <c r="C137" s="48" t="n"/>
      <c r="D137" s="48" t="n"/>
      <c r="E137" s="48" t="n"/>
      <c r="F137" s="49" t="n"/>
      <c r="G137" s="49" t="n"/>
      <c r="H137" s="49" t="n"/>
      <c r="I137" s="49" t="n"/>
      <c r="J137" s="49" t="n"/>
      <c r="K137" s="49" t="n"/>
      <c r="L137" s="49" t="n"/>
      <c r="M137" s="49" t="n"/>
      <c r="N137" s="49" t="n"/>
      <c r="O137" s="49" t="n"/>
      <c r="P137" s="50" t="n"/>
      <c r="Q137" s="51" t="str">
        <f>IF(AND(ISNUMBER($F137),$F137&gt;0,ISNUMBER($G137)),$G137/$F137,"")</f>
        <v/>
      </c>
      <c r="R137" s="51" t="str">
        <f>IF(AND(ISNUMBER($F137),$F137&gt;0,ISNUMBER($H137)),$H137/$F137,"")</f>
        <v/>
      </c>
      <c r="S137" s="52" t="str">
        <f>IF(AND(ISNUMBER($J137),ISNUMBER($L137)),IF($L137&gt;0,$J137/$L137,""),"")</f>
        <v/>
      </c>
      <c r="T137" s="53" t="str">
        <f>IF(ISNUMBER($A137),YEAR($A137)&amp;"-"&amp;TEXT(MONTH($A137),"00"),"")</f>
        <v/>
      </c>
    </row>
    <row r="138">
      <c r="A138" s="47" t="n"/>
      <c r="B138" s="48" t="n"/>
      <c r="C138" s="48" t="n"/>
      <c r="D138" s="48" t="n"/>
      <c r="E138" s="48" t="n"/>
      <c r="F138" s="49" t="n"/>
      <c r="G138" s="49" t="n"/>
      <c r="H138" s="49" t="n"/>
      <c r="I138" s="49" t="n"/>
      <c r="J138" s="49" t="n"/>
      <c r="K138" s="49" t="n"/>
      <c r="L138" s="49" t="n"/>
      <c r="M138" s="49" t="n"/>
      <c r="N138" s="49" t="n"/>
      <c r="O138" s="49" t="n"/>
      <c r="P138" s="50" t="n"/>
      <c r="Q138" s="51" t="str">
        <f>IF(AND(ISNUMBER($F138),$F138&gt;0,ISNUMBER($G138)),$G138/$F138,"")</f>
        <v/>
      </c>
      <c r="R138" s="51" t="str">
        <f>IF(AND(ISNUMBER($F138),$F138&gt;0,ISNUMBER($H138)),$H138/$F138,"")</f>
        <v/>
      </c>
      <c r="S138" s="52" t="str">
        <f>IF(AND(ISNUMBER($J138),ISNUMBER($L138)),IF($L138&gt;0,$J138/$L138,""),"")</f>
        <v/>
      </c>
      <c r="T138" s="53" t="str">
        <f>IF(ISNUMBER($A138),YEAR($A138)&amp;"-"&amp;TEXT(MONTH($A138),"00"),"")</f>
        <v/>
      </c>
    </row>
    <row r="139">
      <c r="A139" s="47" t="n"/>
      <c r="B139" s="48" t="n"/>
      <c r="C139" s="48" t="n"/>
      <c r="D139" s="48" t="n"/>
      <c r="E139" s="48" t="n"/>
      <c r="F139" s="49" t="n"/>
      <c r="G139" s="49" t="n"/>
      <c r="H139" s="49" t="n"/>
      <c r="I139" s="49" t="n"/>
      <c r="J139" s="49" t="n"/>
      <c r="K139" s="49" t="n"/>
      <c r="L139" s="49" t="n"/>
      <c r="M139" s="49" t="n"/>
      <c r="N139" s="49" t="n"/>
      <c r="O139" s="49" t="n"/>
      <c r="P139" s="50" t="n"/>
      <c r="Q139" s="51" t="str">
        <f>IF(AND(ISNUMBER($F139),$F139&gt;0,ISNUMBER($G139)),$G139/$F139,"")</f>
        <v/>
      </c>
      <c r="R139" s="51" t="str">
        <f>IF(AND(ISNUMBER($F139),$F139&gt;0,ISNUMBER($H139)),$H139/$F139,"")</f>
        <v/>
      </c>
      <c r="S139" s="52" t="str">
        <f>IF(AND(ISNUMBER($J139),ISNUMBER($L139)),IF($L139&gt;0,$J139/$L139,""),"")</f>
        <v/>
      </c>
      <c r="T139" s="53" t="str">
        <f>IF(ISNUMBER($A139),YEAR($A139)&amp;"-"&amp;TEXT(MONTH($A139),"00"),"")</f>
        <v/>
      </c>
    </row>
    <row r="140">
      <c r="A140" s="47" t="n"/>
      <c r="B140" s="48" t="n"/>
      <c r="C140" s="48" t="n"/>
      <c r="D140" s="48" t="n"/>
      <c r="E140" s="48" t="n"/>
      <c r="F140" s="49" t="n"/>
      <c r="G140" s="49" t="n"/>
      <c r="H140" s="49" t="n"/>
      <c r="I140" s="49" t="n"/>
      <c r="J140" s="49" t="n"/>
      <c r="K140" s="49" t="n"/>
      <c r="L140" s="49" t="n"/>
      <c r="M140" s="49" t="n"/>
      <c r="N140" s="49" t="n"/>
      <c r="O140" s="49" t="n"/>
      <c r="P140" s="50" t="n"/>
      <c r="Q140" s="51" t="str">
        <f>IF(AND(ISNUMBER($F140),$F140&gt;0,ISNUMBER($G140)),$G140/$F140,"")</f>
        <v/>
      </c>
      <c r="R140" s="51" t="str">
        <f>IF(AND(ISNUMBER($F140),$F140&gt;0,ISNUMBER($H140)),$H140/$F140,"")</f>
        <v/>
      </c>
      <c r="S140" s="52" t="str">
        <f>IF(AND(ISNUMBER($J140),ISNUMBER($L140)),IF($L140&gt;0,$J140/$L140,""),"")</f>
        <v/>
      </c>
      <c r="T140" s="53" t="str">
        <f>IF(ISNUMBER($A140),YEAR($A140)&amp;"-"&amp;TEXT(MONTH($A140),"00"),"")</f>
        <v/>
      </c>
    </row>
    <row r="141">
      <c r="A141" s="47" t="n"/>
      <c r="B141" s="48" t="n"/>
      <c r="C141" s="48" t="n"/>
      <c r="D141" s="48" t="n"/>
      <c r="E141" s="48" t="n"/>
      <c r="F141" s="49" t="n"/>
      <c r="G141" s="49" t="n"/>
      <c r="H141" s="49" t="n"/>
      <c r="I141" s="49" t="n"/>
      <c r="J141" s="49" t="n"/>
      <c r="K141" s="49" t="n"/>
      <c r="L141" s="49" t="n"/>
      <c r="M141" s="49" t="n"/>
      <c r="N141" s="49" t="n"/>
      <c r="O141" s="49" t="n"/>
      <c r="P141" s="50" t="n"/>
      <c r="Q141" s="51" t="str">
        <f>IF(AND(ISNUMBER($F141),$F141&gt;0,ISNUMBER($G141)),$G141/$F141,"")</f>
        <v/>
      </c>
      <c r="R141" s="51" t="str">
        <f>IF(AND(ISNUMBER($F141),$F141&gt;0,ISNUMBER($H141)),$H141/$F141,"")</f>
        <v/>
      </c>
      <c r="S141" s="52" t="str">
        <f>IF(AND(ISNUMBER($J141),ISNUMBER($L141)),IF($L141&gt;0,$J141/$L141,""),"")</f>
        <v/>
      </c>
      <c r="T141" s="53" t="str">
        <f>IF(ISNUMBER($A141),YEAR($A141)&amp;"-"&amp;TEXT(MONTH($A141),"00"),"")</f>
        <v/>
      </c>
    </row>
    <row r="142">
      <c r="A142" s="47" t="n"/>
      <c r="B142" s="48" t="n"/>
      <c r="C142" s="48" t="n"/>
      <c r="D142" s="48" t="n"/>
      <c r="E142" s="48" t="n"/>
      <c r="F142" s="49" t="n"/>
      <c r="G142" s="49" t="n"/>
      <c r="H142" s="49" t="n"/>
      <c r="I142" s="49" t="n"/>
      <c r="J142" s="49" t="n"/>
      <c r="K142" s="49" t="n"/>
      <c r="L142" s="49" t="n"/>
      <c r="M142" s="49" t="n"/>
      <c r="N142" s="49" t="n"/>
      <c r="O142" s="49" t="n"/>
      <c r="P142" s="50" t="n"/>
      <c r="Q142" s="51" t="str">
        <f>IF(AND(ISNUMBER($F142),$F142&gt;0,ISNUMBER($G142)),$G142/$F142,"")</f>
        <v/>
      </c>
      <c r="R142" s="51" t="str">
        <f>IF(AND(ISNUMBER($F142),$F142&gt;0,ISNUMBER($H142)),$H142/$F142,"")</f>
        <v/>
      </c>
      <c r="S142" s="52" t="str">
        <f>IF(AND(ISNUMBER($J142),ISNUMBER($L142)),IF($L142&gt;0,$J142/$L142,""),"")</f>
        <v/>
      </c>
      <c r="T142" s="53" t="str">
        <f>IF(ISNUMBER($A142),YEAR($A142)&amp;"-"&amp;TEXT(MONTH($A142),"00"),"")</f>
        <v/>
      </c>
    </row>
    <row r="143">
      <c r="A143" s="47" t="n"/>
      <c r="B143" s="48" t="n"/>
      <c r="C143" s="48" t="n"/>
      <c r="D143" s="48" t="n"/>
      <c r="E143" s="48" t="n"/>
      <c r="F143" s="49" t="n"/>
      <c r="G143" s="49" t="n"/>
      <c r="H143" s="49" t="n"/>
      <c r="I143" s="49" t="n"/>
      <c r="J143" s="49" t="n"/>
      <c r="K143" s="49" t="n"/>
      <c r="L143" s="49" t="n"/>
      <c r="M143" s="49" t="n"/>
      <c r="N143" s="49" t="n"/>
      <c r="O143" s="49" t="n"/>
      <c r="P143" s="50" t="n"/>
      <c r="Q143" s="51" t="str">
        <f>IF(AND(ISNUMBER($F143),$F143&gt;0,ISNUMBER($G143)),$G143/$F143,"")</f>
        <v/>
      </c>
      <c r="R143" s="51" t="str">
        <f>IF(AND(ISNUMBER($F143),$F143&gt;0,ISNUMBER($H143)),$H143/$F143,"")</f>
        <v/>
      </c>
      <c r="S143" s="52" t="str">
        <f>IF(AND(ISNUMBER($J143),ISNUMBER($L143)),IF($L143&gt;0,$J143/$L143,""),"")</f>
        <v/>
      </c>
      <c r="T143" s="53" t="str">
        <f>IF(ISNUMBER($A143),YEAR($A143)&amp;"-"&amp;TEXT(MONTH($A143),"00"),"")</f>
        <v/>
      </c>
    </row>
    <row r="144">
      <c r="A144" s="47" t="n"/>
      <c r="B144" s="48" t="n"/>
      <c r="C144" s="48" t="n"/>
      <c r="D144" s="48" t="n"/>
      <c r="E144" s="48" t="n"/>
      <c r="F144" s="49" t="n"/>
      <c r="G144" s="49" t="n"/>
      <c r="H144" s="49" t="n"/>
      <c r="I144" s="49" t="n"/>
      <c r="J144" s="49" t="n"/>
      <c r="K144" s="49" t="n"/>
      <c r="L144" s="49" t="n"/>
      <c r="M144" s="49" t="n"/>
      <c r="N144" s="49" t="n"/>
      <c r="O144" s="49" t="n"/>
      <c r="P144" s="50" t="n"/>
      <c r="Q144" s="51" t="str">
        <f>IF(AND(ISNUMBER($F144),$F144&gt;0,ISNUMBER($G144)),$G144/$F144,"")</f>
        <v/>
      </c>
      <c r="R144" s="51" t="str">
        <f>IF(AND(ISNUMBER($F144),$F144&gt;0,ISNUMBER($H144)),$H144/$F144,"")</f>
        <v/>
      </c>
      <c r="S144" s="52" t="str">
        <f>IF(AND(ISNUMBER($J144),ISNUMBER($L144)),IF($L144&gt;0,$J144/$L144,""),"")</f>
        <v/>
      </c>
      <c r="T144" s="53" t="str">
        <f>IF(ISNUMBER($A144),YEAR($A144)&amp;"-"&amp;TEXT(MONTH($A144),"00"),"")</f>
        <v/>
      </c>
    </row>
    <row r="145">
      <c r="A145" s="47" t="n"/>
      <c r="B145" s="48" t="n"/>
      <c r="C145" s="48" t="n"/>
      <c r="D145" s="48" t="n"/>
      <c r="E145" s="48" t="n"/>
      <c r="F145" s="49" t="n"/>
      <c r="G145" s="49" t="n"/>
      <c r="H145" s="49" t="n"/>
      <c r="I145" s="49" t="n"/>
      <c r="J145" s="49" t="n"/>
      <c r="K145" s="49" t="n"/>
      <c r="L145" s="49" t="n"/>
      <c r="M145" s="49" t="n"/>
      <c r="N145" s="49" t="n"/>
      <c r="O145" s="49" t="n"/>
      <c r="P145" s="50" t="n"/>
      <c r="Q145" s="51" t="str">
        <f>IF(AND(ISNUMBER($F145),$F145&gt;0,ISNUMBER($G145)),$G145/$F145,"")</f>
        <v/>
      </c>
      <c r="R145" s="51" t="str">
        <f>IF(AND(ISNUMBER($F145),$F145&gt;0,ISNUMBER($H145)),$H145/$F145,"")</f>
        <v/>
      </c>
      <c r="S145" s="52" t="str">
        <f>IF(AND(ISNUMBER($J145),ISNUMBER($L145)),IF($L145&gt;0,$J145/$L145,""),"")</f>
        <v/>
      </c>
      <c r="T145" s="53" t="str">
        <f>IF(ISNUMBER($A145),YEAR($A145)&amp;"-"&amp;TEXT(MONTH($A145),"00"),"")</f>
        <v/>
      </c>
    </row>
    <row r="146">
      <c r="A146" s="47" t="n"/>
      <c r="B146" s="48" t="n"/>
      <c r="C146" s="48" t="n"/>
      <c r="D146" s="48" t="n"/>
      <c r="E146" s="48" t="n"/>
      <c r="F146" s="49" t="n"/>
      <c r="G146" s="49" t="n"/>
      <c r="H146" s="49" t="n"/>
      <c r="I146" s="49" t="n"/>
      <c r="J146" s="49" t="n"/>
      <c r="K146" s="49" t="n"/>
      <c r="L146" s="49" t="n"/>
      <c r="M146" s="49" t="n"/>
      <c r="N146" s="49" t="n"/>
      <c r="O146" s="49" t="n"/>
      <c r="P146" s="50" t="n"/>
      <c r="Q146" s="51" t="str">
        <f>IF(AND(ISNUMBER($F146),$F146&gt;0,ISNUMBER($G146)),$G146/$F146,"")</f>
        <v/>
      </c>
      <c r="R146" s="51" t="str">
        <f>IF(AND(ISNUMBER($F146),$F146&gt;0,ISNUMBER($H146)),$H146/$F146,"")</f>
        <v/>
      </c>
      <c r="S146" s="52" t="str">
        <f>IF(AND(ISNUMBER($J146),ISNUMBER($L146)),IF($L146&gt;0,$J146/$L146,""),"")</f>
        <v/>
      </c>
      <c r="T146" s="53" t="str">
        <f>IF(ISNUMBER($A146),YEAR($A146)&amp;"-"&amp;TEXT(MONTH($A146),"00"),"")</f>
        <v/>
      </c>
    </row>
    <row r="147">
      <c r="A147" s="47" t="n"/>
      <c r="B147" s="48" t="n"/>
      <c r="C147" s="48" t="n"/>
      <c r="D147" s="48" t="n"/>
      <c r="E147" s="48" t="n"/>
      <c r="F147" s="49" t="n"/>
      <c r="G147" s="49" t="n"/>
      <c r="H147" s="49" t="n"/>
      <c r="I147" s="49" t="n"/>
      <c r="J147" s="49" t="n"/>
      <c r="K147" s="49" t="n"/>
      <c r="L147" s="49" t="n"/>
      <c r="M147" s="49" t="n"/>
      <c r="N147" s="49" t="n"/>
      <c r="O147" s="49" t="n"/>
      <c r="P147" s="50" t="n"/>
      <c r="Q147" s="51" t="str">
        <f>IF(AND(ISNUMBER($F147),$F147&gt;0,ISNUMBER($G147)),$G147/$F147,"")</f>
        <v/>
      </c>
      <c r="R147" s="51" t="str">
        <f>IF(AND(ISNUMBER($F147),$F147&gt;0,ISNUMBER($H147)),$H147/$F147,"")</f>
        <v/>
      </c>
      <c r="S147" s="52" t="str">
        <f>IF(AND(ISNUMBER($J147),ISNUMBER($L147)),IF($L147&gt;0,$J147/$L147,""),"")</f>
        <v/>
      </c>
      <c r="T147" s="53" t="str">
        <f>IF(ISNUMBER($A147),YEAR($A147)&amp;"-"&amp;TEXT(MONTH($A147),"00"),"")</f>
        <v/>
      </c>
    </row>
    <row r="148">
      <c r="A148" s="47" t="n"/>
      <c r="B148" s="48" t="n"/>
      <c r="C148" s="48" t="n"/>
      <c r="D148" s="48" t="n"/>
      <c r="E148" s="48" t="n"/>
      <c r="F148" s="49" t="n"/>
      <c r="G148" s="49" t="n"/>
      <c r="H148" s="49" t="n"/>
      <c r="I148" s="49" t="n"/>
      <c r="J148" s="49" t="n"/>
      <c r="K148" s="49" t="n"/>
      <c r="L148" s="49" t="n"/>
      <c r="M148" s="49" t="n"/>
      <c r="N148" s="49" t="n"/>
      <c r="O148" s="49" t="n"/>
      <c r="P148" s="50" t="n"/>
      <c r="Q148" s="51" t="str">
        <f>IF(AND(ISNUMBER($F148),$F148&gt;0,ISNUMBER($G148)),$G148/$F148,"")</f>
        <v/>
      </c>
      <c r="R148" s="51" t="str">
        <f>IF(AND(ISNUMBER($F148),$F148&gt;0,ISNUMBER($H148)),$H148/$F148,"")</f>
        <v/>
      </c>
      <c r="S148" s="52" t="str">
        <f>IF(AND(ISNUMBER($J148),ISNUMBER($L148)),IF($L148&gt;0,$J148/$L148,""),"")</f>
        <v/>
      </c>
      <c r="T148" s="53" t="str">
        <f>IF(ISNUMBER($A148),YEAR($A148)&amp;"-"&amp;TEXT(MONTH($A148),"00"),"")</f>
        <v/>
      </c>
    </row>
    <row r="149">
      <c r="A149" s="47" t="n"/>
      <c r="B149" s="48" t="n"/>
      <c r="C149" s="48" t="n"/>
      <c r="D149" s="48" t="n"/>
      <c r="E149" s="48" t="n"/>
      <c r="F149" s="49" t="n"/>
      <c r="G149" s="49" t="n"/>
      <c r="H149" s="49" t="n"/>
      <c r="I149" s="49" t="n"/>
      <c r="J149" s="49" t="n"/>
      <c r="K149" s="49" t="n"/>
      <c r="L149" s="49" t="n"/>
      <c r="M149" s="49" t="n"/>
      <c r="N149" s="49" t="n"/>
      <c r="O149" s="49" t="n"/>
      <c r="P149" s="50" t="n"/>
      <c r="Q149" s="51" t="str">
        <f>IF(AND(ISNUMBER($F149),$F149&gt;0,ISNUMBER($G149)),$G149/$F149,"")</f>
        <v/>
      </c>
      <c r="R149" s="51" t="str">
        <f>IF(AND(ISNUMBER($F149),$F149&gt;0,ISNUMBER($H149)),$H149/$F149,"")</f>
        <v/>
      </c>
      <c r="S149" s="52" t="str">
        <f>IF(AND(ISNUMBER($J149),ISNUMBER($L149)),IF($L149&gt;0,$J149/$L149,""),"")</f>
        <v/>
      </c>
      <c r="T149" s="53" t="str">
        <f>IF(ISNUMBER($A149),YEAR($A149)&amp;"-"&amp;TEXT(MONTH($A149),"00"),"")</f>
        <v/>
      </c>
    </row>
    <row r="150">
      <c r="A150" s="47" t="n"/>
      <c r="B150" s="48" t="n"/>
      <c r="C150" s="48" t="n"/>
      <c r="D150" s="48" t="n"/>
      <c r="E150" s="48" t="n"/>
      <c r="F150" s="49" t="n"/>
      <c r="G150" s="49" t="n"/>
      <c r="H150" s="49" t="n"/>
      <c r="I150" s="49" t="n"/>
      <c r="J150" s="49" t="n"/>
      <c r="K150" s="49" t="n"/>
      <c r="L150" s="49" t="n"/>
      <c r="M150" s="49" t="n"/>
      <c r="N150" s="49" t="n"/>
      <c r="O150" s="49" t="n"/>
      <c r="P150" s="50" t="n"/>
      <c r="Q150" s="51" t="str">
        <f>IF(AND(ISNUMBER($F150),$F150&gt;0,ISNUMBER($G150)),$G150/$F150,"")</f>
        <v/>
      </c>
      <c r="R150" s="51" t="str">
        <f>IF(AND(ISNUMBER($F150),$F150&gt;0,ISNUMBER($H150)),$H150/$F150,"")</f>
        <v/>
      </c>
      <c r="S150" s="52" t="str">
        <f>IF(AND(ISNUMBER($J150),ISNUMBER($L150)),IF($L150&gt;0,$J150/$L150,""),"")</f>
        <v/>
      </c>
      <c r="T150" s="53" t="str">
        <f>IF(ISNUMBER($A150),YEAR($A150)&amp;"-"&amp;TEXT(MONTH($A150),"00"),"")</f>
        <v/>
      </c>
    </row>
    <row r="151">
      <c r="A151" s="47" t="n"/>
      <c r="B151" s="48" t="n"/>
      <c r="C151" s="48" t="n"/>
      <c r="D151" s="48" t="n"/>
      <c r="E151" s="48" t="n"/>
      <c r="F151" s="49" t="n"/>
      <c r="G151" s="49" t="n"/>
      <c r="H151" s="49" t="n"/>
      <c r="I151" s="49" t="n"/>
      <c r="J151" s="49" t="n"/>
      <c r="K151" s="49" t="n"/>
      <c r="L151" s="49" t="n"/>
      <c r="M151" s="49" t="n"/>
      <c r="N151" s="49" t="n"/>
      <c r="O151" s="49" t="n"/>
      <c r="P151" s="50" t="n"/>
      <c r="Q151" s="51" t="str">
        <f>IF(AND(ISNUMBER($F151),$F151&gt;0,ISNUMBER($G151)),$G151/$F151,"")</f>
        <v/>
      </c>
      <c r="R151" s="51" t="str">
        <f>IF(AND(ISNUMBER($F151),$F151&gt;0,ISNUMBER($H151)),$H151/$F151,"")</f>
        <v/>
      </c>
      <c r="S151" s="52" t="str">
        <f>IF(AND(ISNUMBER($J151),ISNUMBER($L151)),IF($L151&gt;0,$J151/$L151,""),"")</f>
        <v/>
      </c>
      <c r="T151" s="53" t="str">
        <f>IF(ISNUMBER($A151),YEAR($A151)&amp;"-"&amp;TEXT(MONTH($A151),"00"),"")</f>
        <v/>
      </c>
    </row>
    <row r="152">
      <c r="A152" s="47" t="n"/>
      <c r="B152" s="48" t="n"/>
      <c r="C152" s="48" t="n"/>
      <c r="D152" s="48" t="n"/>
      <c r="E152" s="48" t="n"/>
      <c r="F152" s="49" t="n"/>
      <c r="G152" s="49" t="n"/>
      <c r="H152" s="49" t="n"/>
      <c r="I152" s="49" t="n"/>
      <c r="J152" s="49" t="n"/>
      <c r="K152" s="49" t="n"/>
      <c r="L152" s="49" t="n"/>
      <c r="M152" s="49" t="n"/>
      <c r="N152" s="49" t="n"/>
      <c r="O152" s="49" t="n"/>
      <c r="P152" s="50" t="n"/>
      <c r="Q152" s="51" t="str">
        <f>IF(AND(ISNUMBER($F152),$F152&gt;0,ISNUMBER($G152)),$G152/$F152,"")</f>
        <v/>
      </c>
      <c r="R152" s="51" t="str">
        <f>IF(AND(ISNUMBER($F152),$F152&gt;0,ISNUMBER($H152)),$H152/$F152,"")</f>
        <v/>
      </c>
      <c r="S152" s="52" t="str">
        <f>IF(AND(ISNUMBER($J152),ISNUMBER($L152)),IF($L152&gt;0,$J152/$L152,""),"")</f>
        <v/>
      </c>
      <c r="T152" s="53" t="str">
        <f>IF(ISNUMBER($A152),YEAR($A152)&amp;"-"&amp;TEXT(MONTH($A152),"00"),"")</f>
        <v/>
      </c>
    </row>
    <row r="153">
      <c r="A153" s="47" t="n"/>
      <c r="B153" s="48" t="n"/>
      <c r="C153" s="48" t="n"/>
      <c r="D153" s="48" t="n"/>
      <c r="E153" s="48" t="n"/>
      <c r="F153" s="49" t="n"/>
      <c r="G153" s="49" t="n"/>
      <c r="H153" s="49" t="n"/>
      <c r="I153" s="49" t="n"/>
      <c r="J153" s="49" t="n"/>
      <c r="K153" s="49" t="n"/>
      <c r="L153" s="49" t="n"/>
      <c r="M153" s="49" t="n"/>
      <c r="N153" s="49" t="n"/>
      <c r="O153" s="49" t="n"/>
      <c r="P153" s="50" t="n"/>
      <c r="Q153" s="51" t="str">
        <f>IF(AND(ISNUMBER($F153),$F153&gt;0,ISNUMBER($G153)),$G153/$F153,"")</f>
        <v/>
      </c>
      <c r="R153" s="51" t="str">
        <f>IF(AND(ISNUMBER($F153),$F153&gt;0,ISNUMBER($H153)),$H153/$F153,"")</f>
        <v/>
      </c>
      <c r="S153" s="52" t="str">
        <f>IF(AND(ISNUMBER($J153),ISNUMBER($L153)),IF($L153&gt;0,$J153/$L153,""),"")</f>
        <v/>
      </c>
      <c r="T153" s="53" t="str">
        <f>IF(ISNUMBER($A153),YEAR($A153)&amp;"-"&amp;TEXT(MONTH($A153),"00"),"")</f>
        <v/>
      </c>
    </row>
    <row r="154">
      <c r="A154" s="47" t="n"/>
      <c r="B154" s="48" t="n"/>
      <c r="C154" s="48" t="n"/>
      <c r="D154" s="48" t="n"/>
      <c r="E154" s="48" t="n"/>
      <c r="F154" s="49" t="n"/>
      <c r="G154" s="49" t="n"/>
      <c r="H154" s="49" t="n"/>
      <c r="I154" s="49" t="n"/>
      <c r="J154" s="49" t="n"/>
      <c r="K154" s="49" t="n"/>
      <c r="L154" s="49" t="n"/>
      <c r="M154" s="49" t="n"/>
      <c r="N154" s="49" t="n"/>
      <c r="O154" s="49" t="n"/>
      <c r="P154" s="50" t="n"/>
      <c r="Q154" s="51" t="str">
        <f>IF(AND(ISNUMBER($F154),$F154&gt;0,ISNUMBER($G154)),$G154/$F154,"")</f>
        <v/>
      </c>
      <c r="R154" s="51" t="str">
        <f>IF(AND(ISNUMBER($F154),$F154&gt;0,ISNUMBER($H154)),$H154/$F154,"")</f>
        <v/>
      </c>
      <c r="S154" s="52" t="str">
        <f>IF(AND(ISNUMBER($J154),ISNUMBER($L154)),IF($L154&gt;0,$J154/$L154,""),"")</f>
        <v/>
      </c>
      <c r="T154" s="53" t="str">
        <f>IF(ISNUMBER($A154),YEAR($A154)&amp;"-"&amp;TEXT(MONTH($A154),"00"),"")</f>
        <v/>
      </c>
    </row>
    <row r="155">
      <c r="A155" s="47" t="n"/>
      <c r="B155" s="48" t="n"/>
      <c r="C155" s="48" t="n"/>
      <c r="D155" s="48" t="n"/>
      <c r="E155" s="48" t="n"/>
      <c r="F155" s="49" t="n"/>
      <c r="G155" s="49" t="n"/>
      <c r="H155" s="49" t="n"/>
      <c r="I155" s="49" t="n"/>
      <c r="J155" s="49" t="n"/>
      <c r="K155" s="49" t="n"/>
      <c r="L155" s="49" t="n"/>
      <c r="M155" s="49" t="n"/>
      <c r="N155" s="49" t="n"/>
      <c r="O155" s="49" t="n"/>
      <c r="P155" s="50" t="n"/>
      <c r="Q155" s="51" t="str">
        <f>IF(AND(ISNUMBER($F155),$F155&gt;0,ISNUMBER($G155)),$G155/$F155,"")</f>
        <v/>
      </c>
      <c r="R155" s="51" t="str">
        <f>IF(AND(ISNUMBER($F155),$F155&gt;0,ISNUMBER($H155)),$H155/$F155,"")</f>
        <v/>
      </c>
      <c r="S155" s="52" t="str">
        <f>IF(AND(ISNUMBER($J155),ISNUMBER($L155)),IF($L155&gt;0,$J155/$L155,""),"")</f>
        <v/>
      </c>
      <c r="T155" s="53" t="str">
        <f>IF(ISNUMBER($A155),YEAR($A155)&amp;"-"&amp;TEXT(MONTH($A155),"00"),"")</f>
        <v/>
      </c>
    </row>
    <row r="156">
      <c r="A156" s="47" t="n"/>
      <c r="B156" s="48" t="n"/>
      <c r="C156" s="48" t="n"/>
      <c r="D156" s="48" t="n"/>
      <c r="E156" s="48" t="n"/>
      <c r="F156" s="49" t="n"/>
      <c r="G156" s="49" t="n"/>
      <c r="H156" s="49" t="n"/>
      <c r="I156" s="49" t="n"/>
      <c r="J156" s="49" t="n"/>
      <c r="K156" s="49" t="n"/>
      <c r="L156" s="49" t="n"/>
      <c r="M156" s="49" t="n"/>
      <c r="N156" s="49" t="n"/>
      <c r="O156" s="49" t="n"/>
      <c r="P156" s="50" t="n"/>
      <c r="Q156" s="51" t="str">
        <f>IF(AND(ISNUMBER($F156),$F156&gt;0,ISNUMBER($G156)),$G156/$F156,"")</f>
        <v/>
      </c>
      <c r="R156" s="51" t="str">
        <f>IF(AND(ISNUMBER($F156),$F156&gt;0,ISNUMBER($H156)),$H156/$F156,"")</f>
        <v/>
      </c>
      <c r="S156" s="52" t="str">
        <f>IF(AND(ISNUMBER($J156),ISNUMBER($L156)),IF($L156&gt;0,$J156/$L156,""),"")</f>
        <v/>
      </c>
      <c r="T156" s="53" t="str">
        <f>IF(ISNUMBER($A156),YEAR($A156)&amp;"-"&amp;TEXT(MONTH($A156),"00"),"")</f>
        <v/>
      </c>
    </row>
    <row r="157">
      <c r="A157" s="47" t="n"/>
      <c r="B157" s="48" t="n"/>
      <c r="C157" s="48" t="n"/>
      <c r="D157" s="48" t="n"/>
      <c r="E157" s="48" t="n"/>
      <c r="F157" s="49" t="n"/>
      <c r="G157" s="49" t="n"/>
      <c r="H157" s="49" t="n"/>
      <c r="I157" s="49" t="n"/>
      <c r="J157" s="49" t="n"/>
      <c r="K157" s="49" t="n"/>
      <c r="L157" s="49" t="n"/>
      <c r="M157" s="49" t="n"/>
      <c r="N157" s="49" t="n"/>
      <c r="O157" s="49" t="n"/>
      <c r="P157" s="50" t="n"/>
      <c r="Q157" s="51" t="str">
        <f>IF(AND(ISNUMBER($F157),$F157&gt;0,ISNUMBER($G157)),$G157/$F157,"")</f>
        <v/>
      </c>
      <c r="R157" s="51" t="str">
        <f>IF(AND(ISNUMBER($F157),$F157&gt;0,ISNUMBER($H157)),$H157/$F157,"")</f>
        <v/>
      </c>
      <c r="S157" s="52" t="str">
        <f>IF(AND(ISNUMBER($J157),ISNUMBER($L157)),IF($L157&gt;0,$J157/$L157,""),"")</f>
        <v/>
      </c>
      <c r="T157" s="53" t="str">
        <f>IF(ISNUMBER($A157),YEAR($A157)&amp;"-"&amp;TEXT(MONTH($A157),"00"),"")</f>
        <v/>
      </c>
    </row>
    <row r="158">
      <c r="A158" s="47" t="n"/>
      <c r="B158" s="48" t="n"/>
      <c r="C158" s="48" t="n"/>
      <c r="D158" s="48" t="n"/>
      <c r="E158" s="48" t="n"/>
      <c r="F158" s="49" t="n"/>
      <c r="G158" s="49" t="n"/>
      <c r="H158" s="49" t="n"/>
      <c r="I158" s="49" t="n"/>
      <c r="J158" s="49" t="n"/>
      <c r="K158" s="49" t="n"/>
      <c r="L158" s="49" t="n"/>
      <c r="M158" s="49" t="n"/>
      <c r="N158" s="49" t="n"/>
      <c r="O158" s="49" t="n"/>
      <c r="P158" s="50" t="n"/>
      <c r="Q158" s="51" t="str">
        <f>IF(AND(ISNUMBER($F158),$F158&gt;0,ISNUMBER($G158)),$G158/$F158,"")</f>
        <v/>
      </c>
      <c r="R158" s="51" t="str">
        <f>IF(AND(ISNUMBER($F158),$F158&gt;0,ISNUMBER($H158)),$H158/$F158,"")</f>
        <v/>
      </c>
      <c r="S158" s="52" t="str">
        <f>IF(AND(ISNUMBER($J158),ISNUMBER($L158)),IF($L158&gt;0,$J158/$L158,""),"")</f>
        <v/>
      </c>
      <c r="T158" s="53" t="str">
        <f>IF(ISNUMBER($A158),YEAR($A158)&amp;"-"&amp;TEXT(MONTH($A158),"00"),"")</f>
        <v/>
      </c>
    </row>
    <row r="159">
      <c r="A159" s="47" t="n"/>
      <c r="B159" s="48" t="n"/>
      <c r="C159" s="48" t="n"/>
      <c r="D159" s="48" t="n"/>
      <c r="E159" s="48" t="n"/>
      <c r="F159" s="49" t="n"/>
      <c r="G159" s="49" t="n"/>
      <c r="H159" s="49" t="n"/>
      <c r="I159" s="49" t="n"/>
      <c r="J159" s="49" t="n"/>
      <c r="K159" s="49" t="n"/>
      <c r="L159" s="49" t="n"/>
      <c r="M159" s="49" t="n"/>
      <c r="N159" s="49" t="n"/>
      <c r="O159" s="49" t="n"/>
      <c r="P159" s="50" t="n"/>
      <c r="Q159" s="51" t="str">
        <f>IF(AND(ISNUMBER($F159),$F159&gt;0,ISNUMBER($G159)),$G159/$F159,"")</f>
        <v/>
      </c>
      <c r="R159" s="51" t="str">
        <f>IF(AND(ISNUMBER($F159),$F159&gt;0,ISNUMBER($H159)),$H159/$F159,"")</f>
        <v/>
      </c>
      <c r="S159" s="52" t="str">
        <f>IF(AND(ISNUMBER($J159),ISNUMBER($L159)),IF($L159&gt;0,$J159/$L159,""),"")</f>
        <v/>
      </c>
      <c r="T159" s="53" t="str">
        <f>IF(ISNUMBER($A159),YEAR($A159)&amp;"-"&amp;TEXT(MONTH($A159),"00"),"")</f>
        <v/>
      </c>
    </row>
    <row r="160">
      <c r="A160" s="47" t="n"/>
      <c r="B160" s="48" t="n"/>
      <c r="C160" s="48" t="n"/>
      <c r="D160" s="48" t="n"/>
      <c r="E160" s="48" t="n"/>
      <c r="F160" s="49" t="n"/>
      <c r="G160" s="49" t="n"/>
      <c r="H160" s="49" t="n"/>
      <c r="I160" s="49" t="n"/>
      <c r="J160" s="49" t="n"/>
      <c r="K160" s="49" t="n"/>
      <c r="L160" s="49" t="n"/>
      <c r="M160" s="49" t="n"/>
      <c r="N160" s="49" t="n"/>
      <c r="O160" s="49" t="n"/>
      <c r="P160" s="50" t="n"/>
      <c r="Q160" s="51" t="str">
        <f>IF(AND(ISNUMBER($F160),$F160&gt;0,ISNUMBER($G160)),$G160/$F160,"")</f>
        <v/>
      </c>
      <c r="R160" s="51" t="str">
        <f>IF(AND(ISNUMBER($F160),$F160&gt;0,ISNUMBER($H160)),$H160/$F160,"")</f>
        <v/>
      </c>
      <c r="S160" s="52" t="str">
        <f>IF(AND(ISNUMBER($J160),ISNUMBER($L160)),IF($L160&gt;0,$J160/$L160,""),"")</f>
        <v/>
      </c>
      <c r="T160" s="53" t="str">
        <f>IF(ISNUMBER($A160),YEAR($A160)&amp;"-"&amp;TEXT(MONTH($A160),"00"),"")</f>
        <v/>
      </c>
    </row>
    <row r="161">
      <c r="A161" s="47" t="n"/>
      <c r="B161" s="48" t="n"/>
      <c r="C161" s="48" t="n"/>
      <c r="D161" s="48" t="n"/>
      <c r="E161" s="48" t="n"/>
      <c r="F161" s="49" t="n"/>
      <c r="G161" s="49" t="n"/>
      <c r="H161" s="49" t="n"/>
      <c r="I161" s="49" t="n"/>
      <c r="J161" s="49" t="n"/>
      <c r="K161" s="49" t="n"/>
      <c r="L161" s="49" t="n"/>
      <c r="M161" s="49" t="n"/>
      <c r="N161" s="49" t="n"/>
      <c r="O161" s="49" t="n"/>
      <c r="P161" s="50" t="n"/>
      <c r="Q161" s="51" t="str">
        <f>IF(AND(ISNUMBER($F161),$F161&gt;0,ISNUMBER($G161)),$G161/$F161,"")</f>
        <v/>
      </c>
      <c r="R161" s="51" t="str">
        <f>IF(AND(ISNUMBER($F161),$F161&gt;0,ISNUMBER($H161)),$H161/$F161,"")</f>
        <v/>
      </c>
      <c r="S161" s="52" t="str">
        <f>IF(AND(ISNUMBER($J161),ISNUMBER($L161)),IF($L161&gt;0,$J161/$L161,""),"")</f>
        <v/>
      </c>
      <c r="T161" s="53" t="str">
        <f>IF(ISNUMBER($A161),YEAR($A161)&amp;"-"&amp;TEXT(MONTH($A161),"00"),"")</f>
        <v/>
      </c>
    </row>
    <row r="162">
      <c r="A162" s="47" t="n"/>
      <c r="B162" s="48" t="n"/>
      <c r="C162" s="48" t="n"/>
      <c r="D162" s="48" t="n"/>
      <c r="E162" s="48" t="n"/>
      <c r="F162" s="49" t="n"/>
      <c r="G162" s="49" t="n"/>
      <c r="H162" s="49" t="n"/>
      <c r="I162" s="49" t="n"/>
      <c r="J162" s="49" t="n"/>
      <c r="K162" s="49" t="n"/>
      <c r="L162" s="49" t="n"/>
      <c r="M162" s="49" t="n"/>
      <c r="N162" s="49" t="n"/>
      <c r="O162" s="49" t="n"/>
      <c r="P162" s="50" t="n"/>
      <c r="Q162" s="51" t="str">
        <f>IF(AND(ISNUMBER($F162),$F162&gt;0,ISNUMBER($G162)),$G162/$F162,"")</f>
        <v/>
      </c>
      <c r="R162" s="51" t="str">
        <f>IF(AND(ISNUMBER($F162),$F162&gt;0,ISNUMBER($H162)),$H162/$F162,"")</f>
        <v/>
      </c>
      <c r="S162" s="52" t="str">
        <f>IF(AND(ISNUMBER($J162),ISNUMBER($L162)),IF($L162&gt;0,$J162/$L162,""),"")</f>
        <v/>
      </c>
      <c r="T162" s="53" t="str">
        <f>IF(ISNUMBER($A162),YEAR($A162)&amp;"-"&amp;TEXT(MONTH($A162),"00"),"")</f>
        <v/>
      </c>
    </row>
    <row r="163">
      <c r="A163" s="47" t="n"/>
      <c r="B163" s="48" t="n"/>
      <c r="C163" s="48" t="n"/>
      <c r="D163" s="48" t="n"/>
      <c r="E163" s="48" t="n"/>
      <c r="F163" s="49" t="n"/>
      <c r="G163" s="49" t="n"/>
      <c r="H163" s="49" t="n"/>
      <c r="I163" s="49" t="n"/>
      <c r="J163" s="49" t="n"/>
      <c r="K163" s="49" t="n"/>
      <c r="L163" s="49" t="n"/>
      <c r="M163" s="49" t="n"/>
      <c r="N163" s="49" t="n"/>
      <c r="O163" s="49" t="n"/>
      <c r="P163" s="50" t="n"/>
      <c r="Q163" s="51" t="str">
        <f>IF(AND(ISNUMBER($F163),$F163&gt;0,ISNUMBER($G163)),$G163/$F163,"")</f>
        <v/>
      </c>
      <c r="R163" s="51" t="str">
        <f>IF(AND(ISNUMBER($F163),$F163&gt;0,ISNUMBER($H163)),$H163/$F163,"")</f>
        <v/>
      </c>
      <c r="S163" s="52" t="str">
        <f>IF(AND(ISNUMBER($J163),ISNUMBER($L163)),IF($L163&gt;0,$J163/$L163,""),"")</f>
        <v/>
      </c>
      <c r="T163" s="53" t="str">
        <f>IF(ISNUMBER($A163),YEAR($A163)&amp;"-"&amp;TEXT(MONTH($A163),"00"),"")</f>
        <v/>
      </c>
    </row>
    <row r="164">
      <c r="A164" s="47" t="n"/>
      <c r="B164" s="48" t="n"/>
      <c r="C164" s="48" t="n"/>
      <c r="D164" s="48" t="n"/>
      <c r="E164" s="48" t="n"/>
      <c r="F164" s="49" t="n"/>
      <c r="G164" s="49" t="n"/>
      <c r="H164" s="49" t="n"/>
      <c r="I164" s="49" t="n"/>
      <c r="J164" s="49" t="n"/>
      <c r="K164" s="49" t="n"/>
      <c r="L164" s="49" t="n"/>
      <c r="M164" s="49" t="n"/>
      <c r="N164" s="49" t="n"/>
      <c r="O164" s="49" t="n"/>
      <c r="P164" s="50" t="n"/>
      <c r="Q164" s="51" t="str">
        <f>IF(AND(ISNUMBER($F164),$F164&gt;0,ISNUMBER($G164)),$G164/$F164,"")</f>
        <v/>
      </c>
      <c r="R164" s="51" t="str">
        <f>IF(AND(ISNUMBER($F164),$F164&gt;0,ISNUMBER($H164)),$H164/$F164,"")</f>
        <v/>
      </c>
      <c r="S164" s="52" t="str">
        <f>IF(AND(ISNUMBER($J164),ISNUMBER($L164)),IF($L164&gt;0,$J164/$L164,""),"")</f>
        <v/>
      </c>
      <c r="T164" s="53" t="str">
        <f>IF(ISNUMBER($A164),YEAR($A164)&amp;"-"&amp;TEXT(MONTH($A164),"00"),"")</f>
        <v/>
      </c>
    </row>
    <row r="165">
      <c r="A165" s="47" t="n"/>
      <c r="B165" s="48" t="n"/>
      <c r="C165" s="48" t="n"/>
      <c r="D165" s="48" t="n"/>
      <c r="E165" s="48" t="n"/>
      <c r="F165" s="49" t="n"/>
      <c r="G165" s="49" t="n"/>
      <c r="H165" s="49" t="n"/>
      <c r="I165" s="49" t="n"/>
      <c r="J165" s="49" t="n"/>
      <c r="K165" s="49" t="n"/>
      <c r="L165" s="49" t="n"/>
      <c r="M165" s="49" t="n"/>
      <c r="N165" s="49" t="n"/>
      <c r="O165" s="49" t="n"/>
      <c r="P165" s="50" t="n"/>
      <c r="Q165" s="51" t="str">
        <f>IF(AND(ISNUMBER($F165),$F165&gt;0,ISNUMBER($G165)),$G165/$F165,"")</f>
        <v/>
      </c>
      <c r="R165" s="51" t="str">
        <f>IF(AND(ISNUMBER($F165),$F165&gt;0,ISNUMBER($H165)),$H165/$F165,"")</f>
        <v/>
      </c>
      <c r="S165" s="52" t="str">
        <f>IF(AND(ISNUMBER($J165),ISNUMBER($L165)),IF($L165&gt;0,$J165/$L165,""),"")</f>
        <v/>
      </c>
      <c r="T165" s="53" t="str">
        <f>IF(ISNUMBER($A165),YEAR($A165)&amp;"-"&amp;TEXT(MONTH($A165),"00"),"")</f>
        <v/>
      </c>
    </row>
    <row r="166">
      <c r="A166" s="47" t="n"/>
      <c r="B166" s="48" t="n"/>
      <c r="C166" s="48" t="n"/>
      <c r="D166" s="48" t="n"/>
      <c r="E166" s="48" t="n"/>
      <c r="F166" s="49" t="n"/>
      <c r="G166" s="49" t="n"/>
      <c r="H166" s="49" t="n"/>
      <c r="I166" s="49" t="n"/>
      <c r="J166" s="49" t="n"/>
      <c r="K166" s="49" t="n"/>
      <c r="L166" s="49" t="n"/>
      <c r="M166" s="49" t="n"/>
      <c r="N166" s="49" t="n"/>
      <c r="O166" s="49" t="n"/>
      <c r="P166" s="50" t="n"/>
      <c r="Q166" s="51" t="str">
        <f>IF(AND(ISNUMBER($F166),$F166&gt;0,ISNUMBER($G166)),$G166/$F166,"")</f>
        <v/>
      </c>
      <c r="R166" s="51" t="str">
        <f>IF(AND(ISNUMBER($F166),$F166&gt;0,ISNUMBER($H166)),$H166/$F166,"")</f>
        <v/>
      </c>
      <c r="S166" s="52" t="str">
        <f>IF(AND(ISNUMBER($J166),ISNUMBER($L166)),IF($L166&gt;0,$J166/$L166,""),"")</f>
        <v/>
      </c>
      <c r="T166" s="53" t="str">
        <f>IF(ISNUMBER($A166),YEAR($A166)&amp;"-"&amp;TEXT(MONTH($A166),"00"),"")</f>
        <v/>
      </c>
    </row>
    <row r="167">
      <c r="A167" s="47" t="n"/>
      <c r="B167" s="48" t="n"/>
      <c r="C167" s="48" t="n"/>
      <c r="D167" s="48" t="n"/>
      <c r="E167" s="48" t="n"/>
      <c r="F167" s="49" t="n"/>
      <c r="G167" s="49" t="n"/>
      <c r="H167" s="49" t="n"/>
      <c r="I167" s="49" t="n"/>
      <c r="J167" s="49" t="n"/>
      <c r="K167" s="49" t="n"/>
      <c r="L167" s="49" t="n"/>
      <c r="M167" s="49" t="n"/>
      <c r="N167" s="49" t="n"/>
      <c r="O167" s="49" t="n"/>
      <c r="P167" s="50" t="n"/>
      <c r="Q167" s="51" t="str">
        <f>IF(AND(ISNUMBER($F167),$F167&gt;0,ISNUMBER($G167)),$G167/$F167,"")</f>
        <v/>
      </c>
      <c r="R167" s="51" t="str">
        <f>IF(AND(ISNUMBER($F167),$F167&gt;0,ISNUMBER($H167)),$H167/$F167,"")</f>
        <v/>
      </c>
      <c r="S167" s="52" t="str">
        <f>IF(AND(ISNUMBER($J167),ISNUMBER($L167)),IF($L167&gt;0,$J167/$L167,""),"")</f>
        <v/>
      </c>
      <c r="T167" s="53" t="str">
        <f>IF(ISNUMBER($A167),YEAR($A167)&amp;"-"&amp;TEXT(MONTH($A167),"00"),"")</f>
        <v/>
      </c>
    </row>
    <row r="168">
      <c r="A168" s="47" t="n"/>
      <c r="B168" s="48" t="n"/>
      <c r="C168" s="48" t="n"/>
      <c r="D168" s="48" t="n"/>
      <c r="E168" s="48" t="n"/>
      <c r="F168" s="49" t="n"/>
      <c r="G168" s="49" t="n"/>
      <c r="H168" s="49" t="n"/>
      <c r="I168" s="49" t="n"/>
      <c r="J168" s="49" t="n"/>
      <c r="K168" s="49" t="n"/>
      <c r="L168" s="49" t="n"/>
      <c r="M168" s="49" t="n"/>
      <c r="N168" s="49" t="n"/>
      <c r="O168" s="49" t="n"/>
      <c r="P168" s="50" t="n"/>
      <c r="Q168" s="51" t="str">
        <f>IF(AND(ISNUMBER($F168),$F168&gt;0,ISNUMBER($G168)),$G168/$F168,"")</f>
        <v/>
      </c>
      <c r="R168" s="51" t="str">
        <f>IF(AND(ISNUMBER($F168),$F168&gt;0,ISNUMBER($H168)),$H168/$F168,"")</f>
        <v/>
      </c>
      <c r="S168" s="52" t="str">
        <f>IF(AND(ISNUMBER($J168),ISNUMBER($L168)),IF($L168&gt;0,$J168/$L168,""),"")</f>
        <v/>
      </c>
      <c r="T168" s="53" t="str">
        <f>IF(ISNUMBER($A168),YEAR($A168)&amp;"-"&amp;TEXT(MONTH($A168),"00"),"")</f>
        <v/>
      </c>
    </row>
    <row r="169">
      <c r="A169" s="47" t="n"/>
      <c r="B169" s="48" t="n"/>
      <c r="C169" s="48" t="n"/>
      <c r="D169" s="48" t="n"/>
      <c r="E169" s="48" t="n"/>
      <c r="F169" s="49" t="n"/>
      <c r="G169" s="49" t="n"/>
      <c r="H169" s="49" t="n"/>
      <c r="I169" s="49" t="n"/>
      <c r="J169" s="49" t="n"/>
      <c r="K169" s="49" t="n"/>
      <c r="L169" s="49" t="n"/>
      <c r="M169" s="49" t="n"/>
      <c r="N169" s="49" t="n"/>
      <c r="O169" s="49" t="n"/>
      <c r="P169" s="50" t="n"/>
      <c r="Q169" s="51" t="str">
        <f>IF(AND(ISNUMBER($F169),$F169&gt;0,ISNUMBER($G169)),$G169/$F169,"")</f>
        <v/>
      </c>
      <c r="R169" s="51" t="str">
        <f>IF(AND(ISNUMBER($F169),$F169&gt;0,ISNUMBER($H169)),$H169/$F169,"")</f>
        <v/>
      </c>
      <c r="S169" s="52" t="str">
        <f>IF(AND(ISNUMBER($J169),ISNUMBER($L169)),IF($L169&gt;0,$J169/$L169,""),"")</f>
        <v/>
      </c>
      <c r="T169" s="53" t="str">
        <f>IF(ISNUMBER($A169),YEAR($A169)&amp;"-"&amp;TEXT(MONTH($A169),"00"),"")</f>
        <v/>
      </c>
    </row>
    <row r="170">
      <c r="A170" s="47" t="n"/>
      <c r="B170" s="48" t="n"/>
      <c r="C170" s="48" t="n"/>
      <c r="D170" s="48" t="n"/>
      <c r="E170" s="48" t="n"/>
      <c r="F170" s="49" t="n"/>
      <c r="G170" s="49" t="n"/>
      <c r="H170" s="49" t="n"/>
      <c r="I170" s="49" t="n"/>
      <c r="J170" s="49" t="n"/>
      <c r="K170" s="49" t="n"/>
      <c r="L170" s="49" t="n"/>
      <c r="M170" s="49" t="n"/>
      <c r="N170" s="49" t="n"/>
      <c r="O170" s="49" t="n"/>
      <c r="P170" s="50" t="n"/>
      <c r="Q170" s="51" t="str">
        <f>IF(AND(ISNUMBER($F170),$F170&gt;0,ISNUMBER($G170)),$G170/$F170,"")</f>
        <v/>
      </c>
      <c r="R170" s="51" t="str">
        <f>IF(AND(ISNUMBER($F170),$F170&gt;0,ISNUMBER($H170)),$H170/$F170,"")</f>
        <v/>
      </c>
      <c r="S170" s="52" t="str">
        <f>IF(AND(ISNUMBER($J170),ISNUMBER($L170)),IF($L170&gt;0,$J170/$L170,""),"")</f>
        <v/>
      </c>
      <c r="T170" s="53" t="str">
        <f>IF(ISNUMBER($A170),YEAR($A170)&amp;"-"&amp;TEXT(MONTH($A170),"00"),"")</f>
        <v/>
      </c>
    </row>
    <row r="171">
      <c r="A171" s="47" t="n"/>
      <c r="B171" s="48" t="n"/>
      <c r="C171" s="48" t="n"/>
      <c r="D171" s="48" t="n"/>
      <c r="E171" s="48" t="n"/>
      <c r="F171" s="49" t="n"/>
      <c r="G171" s="49" t="n"/>
      <c r="H171" s="49" t="n"/>
      <c r="I171" s="49" t="n"/>
      <c r="J171" s="49" t="n"/>
      <c r="K171" s="49" t="n"/>
      <c r="L171" s="49" t="n"/>
      <c r="M171" s="49" t="n"/>
      <c r="N171" s="49" t="n"/>
      <c r="O171" s="49" t="n"/>
      <c r="P171" s="50" t="n"/>
      <c r="Q171" s="51" t="str">
        <f>IF(AND(ISNUMBER($F171),$F171&gt;0,ISNUMBER($G171)),$G171/$F171,"")</f>
        <v/>
      </c>
      <c r="R171" s="51" t="str">
        <f>IF(AND(ISNUMBER($F171),$F171&gt;0,ISNUMBER($H171)),$H171/$F171,"")</f>
        <v/>
      </c>
      <c r="S171" s="52" t="str">
        <f>IF(AND(ISNUMBER($J171),ISNUMBER($L171)),IF($L171&gt;0,$J171/$L171,""),"")</f>
        <v/>
      </c>
      <c r="T171" s="53" t="str">
        <f>IF(ISNUMBER($A171),YEAR($A171)&amp;"-"&amp;TEXT(MONTH($A171),"00"),"")</f>
        <v/>
      </c>
    </row>
    <row r="172">
      <c r="A172" s="47" t="n"/>
      <c r="B172" s="48" t="n"/>
      <c r="C172" s="48" t="n"/>
      <c r="D172" s="48" t="n"/>
      <c r="E172" s="48" t="n"/>
      <c r="F172" s="49" t="n"/>
      <c r="G172" s="49" t="n"/>
      <c r="H172" s="49" t="n"/>
      <c r="I172" s="49" t="n"/>
      <c r="J172" s="49" t="n"/>
      <c r="K172" s="49" t="n"/>
      <c r="L172" s="49" t="n"/>
      <c r="M172" s="49" t="n"/>
      <c r="N172" s="49" t="n"/>
      <c r="O172" s="49" t="n"/>
      <c r="P172" s="50" t="n"/>
      <c r="Q172" s="51" t="str">
        <f>IF(AND(ISNUMBER($F172),$F172&gt;0,ISNUMBER($G172)),$G172/$F172,"")</f>
        <v/>
      </c>
      <c r="R172" s="51" t="str">
        <f>IF(AND(ISNUMBER($F172),$F172&gt;0,ISNUMBER($H172)),$H172/$F172,"")</f>
        <v/>
      </c>
      <c r="S172" s="52" t="str">
        <f>IF(AND(ISNUMBER($J172),ISNUMBER($L172)),IF($L172&gt;0,$J172/$L172,""),"")</f>
        <v/>
      </c>
      <c r="T172" s="53" t="str">
        <f>IF(ISNUMBER($A172),YEAR($A172)&amp;"-"&amp;TEXT(MONTH($A172),"00"),"")</f>
        <v/>
      </c>
    </row>
    <row r="173">
      <c r="A173" s="47" t="n"/>
      <c r="B173" s="48" t="n"/>
      <c r="C173" s="48" t="n"/>
      <c r="D173" s="48" t="n"/>
      <c r="E173" s="48" t="n"/>
      <c r="F173" s="49" t="n"/>
      <c r="G173" s="49" t="n"/>
      <c r="H173" s="49" t="n"/>
      <c r="I173" s="49" t="n"/>
      <c r="J173" s="49" t="n"/>
      <c r="K173" s="49" t="n"/>
      <c r="L173" s="49" t="n"/>
      <c r="M173" s="49" t="n"/>
      <c r="N173" s="49" t="n"/>
      <c r="O173" s="49" t="n"/>
      <c r="P173" s="50" t="n"/>
      <c r="Q173" s="51" t="str">
        <f>IF(AND(ISNUMBER($F173),$F173&gt;0,ISNUMBER($G173)),$G173/$F173,"")</f>
        <v/>
      </c>
      <c r="R173" s="51" t="str">
        <f>IF(AND(ISNUMBER($F173),$F173&gt;0,ISNUMBER($H173)),$H173/$F173,"")</f>
        <v/>
      </c>
      <c r="S173" s="52" t="str">
        <f>IF(AND(ISNUMBER($J173),ISNUMBER($L173)),IF($L173&gt;0,$J173/$L173,""),"")</f>
        <v/>
      </c>
      <c r="T173" s="53" t="str">
        <f>IF(ISNUMBER($A173),YEAR($A173)&amp;"-"&amp;TEXT(MONTH($A173),"00"),"")</f>
        <v/>
      </c>
    </row>
    <row r="174">
      <c r="A174" s="47" t="n"/>
      <c r="B174" s="48" t="n"/>
      <c r="C174" s="48" t="n"/>
      <c r="D174" s="48" t="n"/>
      <c r="E174" s="48" t="n"/>
      <c r="F174" s="49" t="n"/>
      <c r="G174" s="49" t="n"/>
      <c r="H174" s="49" t="n"/>
      <c r="I174" s="49" t="n"/>
      <c r="J174" s="49" t="n"/>
      <c r="K174" s="49" t="n"/>
      <c r="L174" s="49" t="n"/>
      <c r="M174" s="49" t="n"/>
      <c r="N174" s="49" t="n"/>
      <c r="O174" s="49" t="n"/>
      <c r="P174" s="50" t="n"/>
      <c r="Q174" s="51" t="str">
        <f>IF(AND(ISNUMBER($F174),$F174&gt;0,ISNUMBER($G174)),$G174/$F174,"")</f>
        <v/>
      </c>
      <c r="R174" s="51" t="str">
        <f>IF(AND(ISNUMBER($F174),$F174&gt;0,ISNUMBER($H174)),$H174/$F174,"")</f>
        <v/>
      </c>
      <c r="S174" s="52" t="str">
        <f>IF(AND(ISNUMBER($J174),ISNUMBER($L174)),IF($L174&gt;0,$J174/$L174,""),"")</f>
        <v/>
      </c>
      <c r="T174" s="53" t="str">
        <f>IF(ISNUMBER($A174),YEAR($A174)&amp;"-"&amp;TEXT(MONTH($A174),"00"),"")</f>
        <v/>
      </c>
    </row>
    <row r="175">
      <c r="A175" s="47" t="n"/>
      <c r="B175" s="48" t="n"/>
      <c r="C175" s="48" t="n"/>
      <c r="D175" s="48" t="n"/>
      <c r="E175" s="48" t="n"/>
      <c r="F175" s="49" t="n"/>
      <c r="G175" s="49" t="n"/>
      <c r="H175" s="49" t="n"/>
      <c r="I175" s="49" t="n"/>
      <c r="J175" s="49" t="n"/>
      <c r="K175" s="49" t="n"/>
      <c r="L175" s="49" t="n"/>
      <c r="M175" s="49" t="n"/>
      <c r="N175" s="49" t="n"/>
      <c r="O175" s="49" t="n"/>
      <c r="P175" s="50" t="n"/>
      <c r="Q175" s="51" t="str">
        <f>IF(AND(ISNUMBER($F175),$F175&gt;0,ISNUMBER($G175)),$G175/$F175,"")</f>
        <v/>
      </c>
      <c r="R175" s="51" t="str">
        <f>IF(AND(ISNUMBER($F175),$F175&gt;0,ISNUMBER($H175)),$H175/$F175,"")</f>
        <v/>
      </c>
      <c r="S175" s="52" t="str">
        <f>IF(AND(ISNUMBER($J175),ISNUMBER($L175)),IF($L175&gt;0,$J175/$L175,""),"")</f>
        <v/>
      </c>
      <c r="T175" s="53" t="str">
        <f>IF(ISNUMBER($A175),YEAR($A175)&amp;"-"&amp;TEXT(MONTH($A175),"00"),"")</f>
        <v/>
      </c>
    </row>
    <row r="176">
      <c r="A176" s="47" t="n"/>
      <c r="B176" s="48" t="n"/>
      <c r="C176" s="48" t="n"/>
      <c r="D176" s="48" t="n"/>
      <c r="E176" s="48" t="n"/>
      <c r="F176" s="49" t="n"/>
      <c r="G176" s="49" t="n"/>
      <c r="H176" s="49" t="n"/>
      <c r="I176" s="49" t="n"/>
      <c r="J176" s="49" t="n"/>
      <c r="K176" s="49" t="n"/>
      <c r="L176" s="49" t="n"/>
      <c r="M176" s="49" t="n"/>
      <c r="N176" s="49" t="n"/>
      <c r="O176" s="49" t="n"/>
      <c r="P176" s="50" t="n"/>
      <c r="Q176" s="51" t="str">
        <f>IF(AND(ISNUMBER($F176),$F176&gt;0,ISNUMBER($G176)),$G176/$F176,"")</f>
        <v/>
      </c>
      <c r="R176" s="51" t="str">
        <f>IF(AND(ISNUMBER($F176),$F176&gt;0,ISNUMBER($H176)),$H176/$F176,"")</f>
        <v/>
      </c>
      <c r="S176" s="52" t="str">
        <f>IF(AND(ISNUMBER($J176),ISNUMBER($L176)),IF($L176&gt;0,$J176/$L176,""),"")</f>
        <v/>
      </c>
      <c r="T176" s="53" t="str">
        <f>IF(ISNUMBER($A176),YEAR($A176)&amp;"-"&amp;TEXT(MONTH($A176),"00"),"")</f>
        <v/>
      </c>
    </row>
    <row r="177">
      <c r="A177" s="47" t="n"/>
      <c r="B177" s="48" t="n"/>
      <c r="C177" s="48" t="n"/>
      <c r="D177" s="48" t="n"/>
      <c r="E177" s="48" t="n"/>
      <c r="F177" s="49" t="n"/>
      <c r="G177" s="49" t="n"/>
      <c r="H177" s="49" t="n"/>
      <c r="I177" s="49" t="n"/>
      <c r="J177" s="49" t="n"/>
      <c r="K177" s="49" t="n"/>
      <c r="L177" s="49" t="n"/>
      <c r="M177" s="49" t="n"/>
      <c r="N177" s="49" t="n"/>
      <c r="O177" s="49" t="n"/>
      <c r="P177" s="50" t="n"/>
      <c r="Q177" s="51" t="str">
        <f>IF(AND(ISNUMBER($F177),$F177&gt;0,ISNUMBER($G177)),$G177/$F177,"")</f>
        <v/>
      </c>
      <c r="R177" s="51" t="str">
        <f>IF(AND(ISNUMBER($F177),$F177&gt;0,ISNUMBER($H177)),$H177/$F177,"")</f>
        <v/>
      </c>
      <c r="S177" s="52" t="str">
        <f>IF(AND(ISNUMBER($J177),ISNUMBER($L177)),IF($L177&gt;0,$J177/$L177,""),"")</f>
        <v/>
      </c>
      <c r="T177" s="53" t="str">
        <f>IF(ISNUMBER($A177),YEAR($A177)&amp;"-"&amp;TEXT(MONTH($A177),"00"),"")</f>
        <v/>
      </c>
    </row>
    <row r="178">
      <c r="A178" s="47" t="n"/>
      <c r="B178" s="48" t="n"/>
      <c r="C178" s="48" t="n"/>
      <c r="D178" s="48" t="n"/>
      <c r="E178" s="48" t="n"/>
      <c r="F178" s="49" t="n"/>
      <c r="G178" s="49" t="n"/>
      <c r="H178" s="49" t="n"/>
      <c r="I178" s="49" t="n"/>
      <c r="J178" s="49" t="n"/>
      <c r="K178" s="49" t="n"/>
      <c r="L178" s="49" t="n"/>
      <c r="M178" s="49" t="n"/>
      <c r="N178" s="49" t="n"/>
      <c r="O178" s="49" t="n"/>
      <c r="P178" s="50" t="n"/>
      <c r="Q178" s="51" t="str">
        <f>IF(AND(ISNUMBER($F178),$F178&gt;0,ISNUMBER($G178)),$G178/$F178,"")</f>
        <v/>
      </c>
      <c r="R178" s="51" t="str">
        <f>IF(AND(ISNUMBER($F178),$F178&gt;0,ISNUMBER($H178)),$H178/$F178,"")</f>
        <v/>
      </c>
      <c r="S178" s="52" t="str">
        <f>IF(AND(ISNUMBER($J178),ISNUMBER($L178)),IF($L178&gt;0,$J178/$L178,""),"")</f>
        <v/>
      </c>
      <c r="T178" s="53" t="str">
        <f>IF(ISNUMBER($A178),YEAR($A178)&amp;"-"&amp;TEXT(MONTH($A178),"00"),"")</f>
        <v/>
      </c>
    </row>
    <row r="179">
      <c r="A179" s="47" t="n"/>
      <c r="B179" s="48" t="n"/>
      <c r="C179" s="48" t="n"/>
      <c r="D179" s="48" t="n"/>
      <c r="E179" s="48" t="n"/>
      <c r="F179" s="49" t="n"/>
      <c r="G179" s="49" t="n"/>
      <c r="H179" s="49" t="n"/>
      <c r="I179" s="49" t="n"/>
      <c r="J179" s="49" t="n"/>
      <c r="K179" s="49" t="n"/>
      <c r="L179" s="49" t="n"/>
      <c r="M179" s="49" t="n"/>
      <c r="N179" s="49" t="n"/>
      <c r="O179" s="49" t="n"/>
      <c r="P179" s="50" t="n"/>
      <c r="Q179" s="51" t="str">
        <f>IF(AND(ISNUMBER($F179),$F179&gt;0,ISNUMBER($G179)),$G179/$F179,"")</f>
        <v/>
      </c>
      <c r="R179" s="51" t="str">
        <f>IF(AND(ISNUMBER($F179),$F179&gt;0,ISNUMBER($H179)),$H179/$F179,"")</f>
        <v/>
      </c>
      <c r="S179" s="52" t="str">
        <f>IF(AND(ISNUMBER($J179),ISNUMBER($L179)),IF($L179&gt;0,$J179/$L179,""),"")</f>
        <v/>
      </c>
      <c r="T179" s="53" t="str">
        <f>IF(ISNUMBER($A179),YEAR($A179)&amp;"-"&amp;TEXT(MONTH($A179),"00"),"")</f>
        <v/>
      </c>
    </row>
    <row r="180">
      <c r="A180" s="47" t="n"/>
      <c r="B180" s="48" t="n"/>
      <c r="C180" s="48" t="n"/>
      <c r="D180" s="48" t="n"/>
      <c r="E180" s="48" t="n"/>
      <c r="F180" s="49" t="n"/>
      <c r="G180" s="49" t="n"/>
      <c r="H180" s="49" t="n"/>
      <c r="I180" s="49" t="n"/>
      <c r="J180" s="49" t="n"/>
      <c r="K180" s="49" t="n"/>
      <c r="L180" s="49" t="n"/>
      <c r="M180" s="49" t="n"/>
      <c r="N180" s="49" t="n"/>
      <c r="O180" s="49" t="n"/>
      <c r="P180" s="50" t="n"/>
      <c r="Q180" s="51" t="str">
        <f>IF(AND(ISNUMBER($F180),$F180&gt;0,ISNUMBER($G180)),$G180/$F180,"")</f>
        <v/>
      </c>
      <c r="R180" s="51" t="str">
        <f>IF(AND(ISNUMBER($F180),$F180&gt;0,ISNUMBER($H180)),$H180/$F180,"")</f>
        <v/>
      </c>
      <c r="S180" s="52" t="str">
        <f>IF(AND(ISNUMBER($J180),ISNUMBER($L180)),IF($L180&gt;0,$J180/$L180,""),"")</f>
        <v/>
      </c>
      <c r="T180" s="53" t="str">
        <f>IF(ISNUMBER($A180),YEAR($A180)&amp;"-"&amp;TEXT(MONTH($A180),"00"),"")</f>
        <v/>
      </c>
    </row>
    <row r="181">
      <c r="A181" s="47" t="n"/>
      <c r="B181" s="48" t="n"/>
      <c r="C181" s="48" t="n"/>
      <c r="D181" s="48" t="n"/>
      <c r="E181" s="48" t="n"/>
      <c r="F181" s="49" t="n"/>
      <c r="G181" s="49" t="n"/>
      <c r="H181" s="49" t="n"/>
      <c r="I181" s="49" t="n"/>
      <c r="J181" s="49" t="n"/>
      <c r="K181" s="49" t="n"/>
      <c r="L181" s="49" t="n"/>
      <c r="M181" s="49" t="n"/>
      <c r="N181" s="49" t="n"/>
      <c r="O181" s="49" t="n"/>
      <c r="P181" s="50" t="n"/>
      <c r="Q181" s="51" t="str">
        <f>IF(AND(ISNUMBER($F181),$F181&gt;0,ISNUMBER($G181)),$G181/$F181,"")</f>
        <v/>
      </c>
      <c r="R181" s="51" t="str">
        <f>IF(AND(ISNUMBER($F181),$F181&gt;0,ISNUMBER($H181)),$H181/$F181,"")</f>
        <v/>
      </c>
      <c r="S181" s="52" t="str">
        <f>IF(AND(ISNUMBER($J181),ISNUMBER($L181)),IF($L181&gt;0,$J181/$L181,""),"")</f>
        <v/>
      </c>
      <c r="T181" s="53" t="str">
        <f>IF(ISNUMBER($A181),YEAR($A181)&amp;"-"&amp;TEXT(MONTH($A181),"00"),"")</f>
        <v/>
      </c>
    </row>
    <row r="182">
      <c r="A182" s="47" t="n"/>
      <c r="B182" s="48" t="n"/>
      <c r="C182" s="48" t="n"/>
      <c r="D182" s="48" t="n"/>
      <c r="E182" s="48" t="n"/>
      <c r="F182" s="49" t="n"/>
      <c r="G182" s="49" t="n"/>
      <c r="H182" s="49" t="n"/>
      <c r="I182" s="49" t="n"/>
      <c r="J182" s="49" t="n"/>
      <c r="K182" s="49" t="n"/>
      <c r="L182" s="49" t="n"/>
      <c r="M182" s="49" t="n"/>
      <c r="N182" s="49" t="n"/>
      <c r="O182" s="49" t="n"/>
      <c r="P182" s="50" t="n"/>
      <c r="Q182" s="51" t="str">
        <f>IF(AND(ISNUMBER($F182),$F182&gt;0,ISNUMBER($G182)),$G182/$F182,"")</f>
        <v/>
      </c>
      <c r="R182" s="51" t="str">
        <f>IF(AND(ISNUMBER($F182),$F182&gt;0,ISNUMBER($H182)),$H182/$F182,"")</f>
        <v/>
      </c>
      <c r="S182" s="52" t="str">
        <f>IF(AND(ISNUMBER($J182),ISNUMBER($L182)),IF($L182&gt;0,$J182/$L182,""),"")</f>
        <v/>
      </c>
      <c r="T182" s="53" t="str">
        <f>IF(ISNUMBER($A182),YEAR($A182)&amp;"-"&amp;TEXT(MONTH($A182),"00"),"")</f>
        <v/>
      </c>
    </row>
    <row r="183">
      <c r="A183" s="47" t="n"/>
      <c r="B183" s="48" t="n"/>
      <c r="C183" s="48" t="n"/>
      <c r="D183" s="48" t="n"/>
      <c r="E183" s="48" t="n"/>
      <c r="F183" s="49" t="n"/>
      <c r="G183" s="49" t="n"/>
      <c r="H183" s="49" t="n"/>
      <c r="I183" s="49" t="n"/>
      <c r="J183" s="49" t="n"/>
      <c r="K183" s="49" t="n"/>
      <c r="L183" s="49" t="n"/>
      <c r="M183" s="49" t="n"/>
      <c r="N183" s="49" t="n"/>
      <c r="O183" s="49" t="n"/>
      <c r="P183" s="50" t="n"/>
      <c r="Q183" s="51" t="str">
        <f>IF(AND(ISNUMBER($F183),$F183&gt;0,ISNUMBER($G183)),$G183/$F183,"")</f>
        <v/>
      </c>
      <c r="R183" s="51" t="str">
        <f>IF(AND(ISNUMBER($F183),$F183&gt;0,ISNUMBER($H183)),$H183/$F183,"")</f>
        <v/>
      </c>
      <c r="S183" s="52" t="str">
        <f>IF(AND(ISNUMBER($J183),ISNUMBER($L183)),IF($L183&gt;0,$J183/$L183,""),"")</f>
        <v/>
      </c>
      <c r="T183" s="53" t="str">
        <f>IF(ISNUMBER($A183),YEAR($A183)&amp;"-"&amp;TEXT(MONTH($A183),"00"),"")</f>
        <v/>
      </c>
    </row>
    <row r="184">
      <c r="A184" s="47" t="n"/>
      <c r="B184" s="48" t="n"/>
      <c r="C184" s="48" t="n"/>
      <c r="D184" s="48" t="n"/>
      <c r="E184" s="48" t="n"/>
      <c r="F184" s="49" t="n"/>
      <c r="G184" s="49" t="n"/>
      <c r="H184" s="49" t="n"/>
      <c r="I184" s="49" t="n"/>
      <c r="J184" s="49" t="n"/>
      <c r="K184" s="49" t="n"/>
      <c r="L184" s="49" t="n"/>
      <c r="M184" s="49" t="n"/>
      <c r="N184" s="49" t="n"/>
      <c r="O184" s="49" t="n"/>
      <c r="P184" s="50" t="n"/>
      <c r="Q184" s="51" t="str">
        <f>IF(AND(ISNUMBER($F184),$F184&gt;0,ISNUMBER($G184)),$G184/$F184,"")</f>
        <v/>
      </c>
      <c r="R184" s="51" t="str">
        <f>IF(AND(ISNUMBER($F184),$F184&gt;0,ISNUMBER($H184)),$H184/$F184,"")</f>
        <v/>
      </c>
      <c r="S184" s="52" t="str">
        <f>IF(AND(ISNUMBER($J184),ISNUMBER($L184)),IF($L184&gt;0,$J184/$L184,""),"")</f>
        <v/>
      </c>
      <c r="T184" s="53" t="str">
        <f>IF(ISNUMBER($A184),YEAR($A184)&amp;"-"&amp;TEXT(MONTH($A184),"00"),"")</f>
        <v/>
      </c>
    </row>
    <row r="185">
      <c r="A185" s="47" t="n"/>
      <c r="B185" s="48" t="n"/>
      <c r="C185" s="48" t="n"/>
      <c r="D185" s="48" t="n"/>
      <c r="E185" s="48" t="n"/>
      <c r="F185" s="49" t="n"/>
      <c r="G185" s="49" t="n"/>
      <c r="H185" s="49" t="n"/>
      <c r="I185" s="49" t="n"/>
      <c r="J185" s="49" t="n"/>
      <c r="K185" s="49" t="n"/>
      <c r="L185" s="49" t="n"/>
      <c r="M185" s="49" t="n"/>
      <c r="N185" s="49" t="n"/>
      <c r="O185" s="49" t="n"/>
      <c r="P185" s="50" t="n"/>
      <c r="Q185" s="51" t="str">
        <f>IF(AND(ISNUMBER($F185),$F185&gt;0,ISNUMBER($G185)),$G185/$F185,"")</f>
        <v/>
      </c>
      <c r="R185" s="51" t="str">
        <f>IF(AND(ISNUMBER($F185),$F185&gt;0,ISNUMBER($H185)),$H185/$F185,"")</f>
        <v/>
      </c>
      <c r="S185" s="52" t="str">
        <f>IF(AND(ISNUMBER($J185),ISNUMBER($L185)),IF($L185&gt;0,$J185/$L185,""),"")</f>
        <v/>
      </c>
      <c r="T185" s="53" t="str">
        <f>IF(ISNUMBER($A185),YEAR($A185)&amp;"-"&amp;TEXT(MONTH($A185),"00"),"")</f>
        <v/>
      </c>
    </row>
    <row r="186">
      <c r="A186" s="47" t="n"/>
      <c r="B186" s="48" t="n"/>
      <c r="C186" s="48" t="n"/>
      <c r="D186" s="48" t="n"/>
      <c r="E186" s="48" t="n"/>
      <c r="F186" s="49" t="n"/>
      <c r="G186" s="49" t="n"/>
      <c r="H186" s="49" t="n"/>
      <c r="I186" s="49" t="n"/>
      <c r="J186" s="49" t="n"/>
      <c r="K186" s="49" t="n"/>
      <c r="L186" s="49" t="n"/>
      <c r="M186" s="49" t="n"/>
      <c r="N186" s="49" t="n"/>
      <c r="O186" s="49" t="n"/>
      <c r="P186" s="50" t="n"/>
      <c r="Q186" s="51" t="str">
        <f>IF(AND(ISNUMBER($F186),$F186&gt;0,ISNUMBER($G186)),$G186/$F186,"")</f>
        <v/>
      </c>
      <c r="R186" s="51" t="str">
        <f>IF(AND(ISNUMBER($F186),$F186&gt;0,ISNUMBER($H186)),$H186/$F186,"")</f>
        <v/>
      </c>
      <c r="S186" s="52" t="str">
        <f>IF(AND(ISNUMBER($J186),ISNUMBER($L186)),IF($L186&gt;0,$J186/$L186,""),"")</f>
        <v/>
      </c>
      <c r="T186" s="53" t="str">
        <f>IF(ISNUMBER($A186),YEAR($A186)&amp;"-"&amp;TEXT(MONTH($A186),"00"),"")</f>
        <v/>
      </c>
    </row>
    <row r="187">
      <c r="A187" s="47" t="n"/>
      <c r="B187" s="48" t="n"/>
      <c r="C187" s="48" t="n"/>
      <c r="D187" s="48" t="n"/>
      <c r="E187" s="48" t="n"/>
      <c r="F187" s="49" t="n"/>
      <c r="G187" s="49" t="n"/>
      <c r="H187" s="49" t="n"/>
      <c r="I187" s="49" t="n"/>
      <c r="J187" s="49" t="n"/>
      <c r="K187" s="49" t="n"/>
      <c r="L187" s="49" t="n"/>
      <c r="M187" s="49" t="n"/>
      <c r="N187" s="49" t="n"/>
      <c r="O187" s="49" t="n"/>
      <c r="P187" s="50" t="n"/>
      <c r="Q187" s="51" t="str">
        <f>IF(AND(ISNUMBER($F187),$F187&gt;0,ISNUMBER($G187)),$G187/$F187,"")</f>
        <v/>
      </c>
      <c r="R187" s="51" t="str">
        <f>IF(AND(ISNUMBER($F187),$F187&gt;0,ISNUMBER($H187)),$H187/$F187,"")</f>
        <v/>
      </c>
      <c r="S187" s="52" t="str">
        <f>IF(AND(ISNUMBER($J187),ISNUMBER($L187)),IF($L187&gt;0,$J187/$L187,""),"")</f>
        <v/>
      </c>
      <c r="T187" s="53" t="str">
        <f>IF(ISNUMBER($A187),YEAR($A187)&amp;"-"&amp;TEXT(MONTH($A187),"00"),"")</f>
        <v/>
      </c>
    </row>
    <row r="188">
      <c r="A188" s="47" t="n"/>
      <c r="B188" s="48" t="n"/>
      <c r="C188" s="48" t="n"/>
      <c r="D188" s="48" t="n"/>
      <c r="E188" s="48" t="n"/>
      <c r="F188" s="49" t="n"/>
      <c r="G188" s="49" t="n"/>
      <c r="H188" s="49" t="n"/>
      <c r="I188" s="49" t="n"/>
      <c r="J188" s="49" t="n"/>
      <c r="K188" s="49" t="n"/>
      <c r="L188" s="49" t="n"/>
      <c r="M188" s="49" t="n"/>
      <c r="N188" s="49" t="n"/>
      <c r="O188" s="49" t="n"/>
      <c r="P188" s="50" t="n"/>
      <c r="Q188" s="51" t="str">
        <f>IF(AND(ISNUMBER($F188),$F188&gt;0,ISNUMBER($G188)),$G188/$F188,"")</f>
        <v/>
      </c>
      <c r="R188" s="51" t="str">
        <f>IF(AND(ISNUMBER($F188),$F188&gt;0,ISNUMBER($H188)),$H188/$F188,"")</f>
        <v/>
      </c>
      <c r="S188" s="52" t="str">
        <f>IF(AND(ISNUMBER($J188),ISNUMBER($L188)),IF($L188&gt;0,$J188/$L188,""),"")</f>
        <v/>
      </c>
      <c r="T188" s="53" t="str">
        <f>IF(ISNUMBER($A188),YEAR($A188)&amp;"-"&amp;TEXT(MONTH($A188),"00"),"")</f>
        <v/>
      </c>
    </row>
    <row r="189">
      <c r="A189" s="47" t="n"/>
      <c r="B189" s="48" t="n"/>
      <c r="C189" s="48" t="n"/>
      <c r="D189" s="48" t="n"/>
      <c r="E189" s="48" t="n"/>
      <c r="F189" s="49" t="n"/>
      <c r="G189" s="49" t="n"/>
      <c r="H189" s="49" t="n"/>
      <c r="I189" s="49" t="n"/>
      <c r="J189" s="49" t="n"/>
      <c r="K189" s="49" t="n"/>
      <c r="L189" s="49" t="n"/>
      <c r="M189" s="49" t="n"/>
      <c r="N189" s="49" t="n"/>
      <c r="O189" s="49" t="n"/>
      <c r="P189" s="50" t="n"/>
      <c r="Q189" s="51" t="str">
        <f>IF(AND(ISNUMBER($F189),$F189&gt;0,ISNUMBER($G189)),$G189/$F189,"")</f>
        <v/>
      </c>
      <c r="R189" s="51" t="str">
        <f>IF(AND(ISNUMBER($F189),$F189&gt;0,ISNUMBER($H189)),$H189/$F189,"")</f>
        <v/>
      </c>
      <c r="S189" s="52" t="str">
        <f>IF(AND(ISNUMBER($J189),ISNUMBER($L189)),IF($L189&gt;0,$J189/$L189,""),"")</f>
        <v/>
      </c>
      <c r="T189" s="53" t="str">
        <f>IF(ISNUMBER($A189),YEAR($A189)&amp;"-"&amp;TEXT(MONTH($A189),"00"),"")</f>
        <v/>
      </c>
    </row>
    <row r="190">
      <c r="A190" s="47" t="n"/>
      <c r="B190" s="48" t="n"/>
      <c r="C190" s="48" t="n"/>
      <c r="D190" s="48" t="n"/>
      <c r="E190" s="48" t="n"/>
      <c r="F190" s="49" t="n"/>
      <c r="G190" s="49" t="n"/>
      <c r="H190" s="49" t="n"/>
      <c r="I190" s="49" t="n"/>
      <c r="J190" s="49" t="n"/>
      <c r="K190" s="49" t="n"/>
      <c r="L190" s="49" t="n"/>
      <c r="M190" s="49" t="n"/>
      <c r="N190" s="49" t="n"/>
      <c r="O190" s="49" t="n"/>
      <c r="P190" s="50" t="n"/>
      <c r="Q190" s="51" t="str">
        <f>IF(AND(ISNUMBER($F190),$F190&gt;0,ISNUMBER($G190)),$G190/$F190,"")</f>
        <v/>
      </c>
      <c r="R190" s="51" t="str">
        <f>IF(AND(ISNUMBER($F190),$F190&gt;0,ISNUMBER($H190)),$H190/$F190,"")</f>
        <v/>
      </c>
      <c r="S190" s="52" t="str">
        <f>IF(AND(ISNUMBER($J190),ISNUMBER($L190)),IF($L190&gt;0,$J190/$L190,""),"")</f>
        <v/>
      </c>
      <c r="T190" s="53" t="str">
        <f>IF(ISNUMBER($A190),YEAR($A190)&amp;"-"&amp;TEXT(MONTH($A190),"00"),"")</f>
        <v/>
      </c>
    </row>
    <row r="191">
      <c r="A191" s="47" t="n"/>
      <c r="B191" s="48" t="n"/>
      <c r="C191" s="48" t="n"/>
      <c r="D191" s="48" t="n"/>
      <c r="E191" s="48" t="n"/>
      <c r="F191" s="49" t="n"/>
      <c r="G191" s="49" t="n"/>
      <c r="H191" s="49" t="n"/>
      <c r="I191" s="49" t="n"/>
      <c r="J191" s="49" t="n"/>
      <c r="K191" s="49" t="n"/>
      <c r="L191" s="49" t="n"/>
      <c r="M191" s="49" t="n"/>
      <c r="N191" s="49" t="n"/>
      <c r="O191" s="49" t="n"/>
      <c r="P191" s="50" t="n"/>
      <c r="Q191" s="51" t="str">
        <f>IF(AND(ISNUMBER($F191),$F191&gt;0,ISNUMBER($G191)),$G191/$F191,"")</f>
        <v/>
      </c>
      <c r="R191" s="51" t="str">
        <f>IF(AND(ISNUMBER($F191),$F191&gt;0,ISNUMBER($H191)),$H191/$F191,"")</f>
        <v/>
      </c>
      <c r="S191" s="52" t="str">
        <f>IF(AND(ISNUMBER($J191),ISNUMBER($L191)),IF($L191&gt;0,$J191/$L191,""),"")</f>
        <v/>
      </c>
      <c r="T191" s="53" t="str">
        <f>IF(ISNUMBER($A191),YEAR($A191)&amp;"-"&amp;TEXT(MONTH($A191),"00"),"")</f>
        <v/>
      </c>
    </row>
    <row r="192">
      <c r="A192" s="47" t="n"/>
      <c r="B192" s="48" t="n"/>
      <c r="C192" s="48" t="n"/>
      <c r="D192" s="48" t="n"/>
      <c r="E192" s="48" t="n"/>
      <c r="F192" s="49" t="n"/>
      <c r="G192" s="49" t="n"/>
      <c r="H192" s="49" t="n"/>
      <c r="I192" s="49" t="n"/>
      <c r="J192" s="49" t="n"/>
      <c r="K192" s="49" t="n"/>
      <c r="L192" s="49" t="n"/>
      <c r="M192" s="49" t="n"/>
      <c r="N192" s="49" t="n"/>
      <c r="O192" s="49" t="n"/>
      <c r="P192" s="50" t="n"/>
      <c r="Q192" s="51" t="str">
        <f>IF(AND(ISNUMBER($F192),$F192&gt;0,ISNUMBER($G192)),$G192/$F192,"")</f>
        <v/>
      </c>
      <c r="R192" s="51" t="str">
        <f>IF(AND(ISNUMBER($F192),$F192&gt;0,ISNUMBER($H192)),$H192/$F192,"")</f>
        <v/>
      </c>
      <c r="S192" s="52" t="str">
        <f>IF(AND(ISNUMBER($J192),ISNUMBER($L192)),IF($L192&gt;0,$J192/$L192,""),"")</f>
        <v/>
      </c>
      <c r="T192" s="53" t="str">
        <f>IF(ISNUMBER($A192),YEAR($A192)&amp;"-"&amp;TEXT(MONTH($A192),"00"),"")</f>
        <v/>
      </c>
    </row>
    <row r="193">
      <c r="A193" s="47" t="n"/>
      <c r="B193" s="48" t="n"/>
      <c r="C193" s="48" t="n"/>
      <c r="D193" s="48" t="n"/>
      <c r="E193" s="48" t="n"/>
      <c r="F193" s="49" t="n"/>
      <c r="G193" s="49" t="n"/>
      <c r="H193" s="49" t="n"/>
      <c r="I193" s="49" t="n"/>
      <c r="J193" s="49" t="n"/>
      <c r="K193" s="49" t="n"/>
      <c r="L193" s="49" t="n"/>
      <c r="M193" s="49" t="n"/>
      <c r="N193" s="49" t="n"/>
      <c r="O193" s="49" t="n"/>
      <c r="P193" s="50" t="n"/>
      <c r="Q193" s="51" t="str">
        <f>IF(AND(ISNUMBER($F193),$F193&gt;0,ISNUMBER($G193)),$G193/$F193,"")</f>
        <v/>
      </c>
      <c r="R193" s="51" t="str">
        <f>IF(AND(ISNUMBER($F193),$F193&gt;0,ISNUMBER($H193)),$H193/$F193,"")</f>
        <v/>
      </c>
      <c r="S193" s="52" t="str">
        <f>IF(AND(ISNUMBER($J193),ISNUMBER($L193)),IF($L193&gt;0,$J193/$L193,""),"")</f>
        <v/>
      </c>
      <c r="T193" s="53" t="str">
        <f>IF(ISNUMBER($A193),YEAR($A193)&amp;"-"&amp;TEXT(MONTH($A193),"00"),"")</f>
        <v/>
      </c>
    </row>
    <row r="194">
      <c r="A194" s="47" t="n"/>
      <c r="B194" s="48" t="n"/>
      <c r="C194" s="48" t="n"/>
      <c r="D194" s="48" t="n"/>
      <c r="E194" s="48" t="n"/>
      <c r="F194" s="49" t="n"/>
      <c r="G194" s="49" t="n"/>
      <c r="H194" s="49" t="n"/>
      <c r="I194" s="49" t="n"/>
      <c r="J194" s="49" t="n"/>
      <c r="K194" s="49" t="n"/>
      <c r="L194" s="49" t="n"/>
      <c r="M194" s="49" t="n"/>
      <c r="N194" s="49" t="n"/>
      <c r="O194" s="49" t="n"/>
      <c r="P194" s="50" t="n"/>
      <c r="Q194" s="51" t="str">
        <f>IF(AND(ISNUMBER($F194),$F194&gt;0,ISNUMBER($G194)),$G194/$F194,"")</f>
        <v/>
      </c>
      <c r="R194" s="51" t="str">
        <f>IF(AND(ISNUMBER($F194),$F194&gt;0,ISNUMBER($H194)),$H194/$F194,"")</f>
        <v/>
      </c>
      <c r="S194" s="52" t="str">
        <f>IF(AND(ISNUMBER($J194),ISNUMBER($L194)),IF($L194&gt;0,$J194/$L194,""),"")</f>
        <v/>
      </c>
      <c r="T194" s="53" t="str">
        <f>IF(ISNUMBER($A194),YEAR($A194)&amp;"-"&amp;TEXT(MONTH($A194),"00"),"")</f>
        <v/>
      </c>
    </row>
    <row r="195">
      <c r="A195" s="47" t="n"/>
      <c r="B195" s="48" t="n"/>
      <c r="C195" s="48" t="n"/>
      <c r="D195" s="48" t="n"/>
      <c r="E195" s="48" t="n"/>
      <c r="F195" s="49" t="n"/>
      <c r="G195" s="49" t="n"/>
      <c r="H195" s="49" t="n"/>
      <c r="I195" s="49" t="n"/>
      <c r="J195" s="49" t="n"/>
      <c r="K195" s="49" t="n"/>
      <c r="L195" s="49" t="n"/>
      <c r="M195" s="49" t="n"/>
      <c r="N195" s="49" t="n"/>
      <c r="O195" s="49" t="n"/>
      <c r="P195" s="50" t="n"/>
      <c r="Q195" s="51" t="str">
        <f>IF(AND(ISNUMBER($F195),$F195&gt;0,ISNUMBER($G195)),$G195/$F195,"")</f>
        <v/>
      </c>
      <c r="R195" s="51" t="str">
        <f>IF(AND(ISNUMBER($F195),$F195&gt;0,ISNUMBER($H195)),$H195/$F195,"")</f>
        <v/>
      </c>
      <c r="S195" s="52" t="str">
        <f>IF(AND(ISNUMBER($J195),ISNUMBER($L195)),IF($L195&gt;0,$J195/$L195,""),"")</f>
        <v/>
      </c>
      <c r="T195" s="53" t="str">
        <f>IF(ISNUMBER($A195),YEAR($A195)&amp;"-"&amp;TEXT(MONTH($A195),"00"),"")</f>
        <v/>
      </c>
    </row>
    <row r="196">
      <c r="A196" s="47" t="n"/>
      <c r="B196" s="48" t="n"/>
      <c r="C196" s="48" t="n"/>
      <c r="D196" s="48" t="n"/>
      <c r="E196" s="48" t="n"/>
      <c r="F196" s="49" t="n"/>
      <c r="G196" s="49" t="n"/>
      <c r="H196" s="49" t="n"/>
      <c r="I196" s="49" t="n"/>
      <c r="J196" s="49" t="n"/>
      <c r="K196" s="49" t="n"/>
      <c r="L196" s="49" t="n"/>
      <c r="M196" s="49" t="n"/>
      <c r="N196" s="49" t="n"/>
      <c r="O196" s="49" t="n"/>
      <c r="P196" s="50" t="n"/>
      <c r="Q196" s="51" t="str">
        <f>IF(AND(ISNUMBER($F196),$F196&gt;0,ISNUMBER($G196)),$G196/$F196,"")</f>
        <v/>
      </c>
      <c r="R196" s="51" t="str">
        <f>IF(AND(ISNUMBER($F196),$F196&gt;0,ISNUMBER($H196)),$H196/$F196,"")</f>
        <v/>
      </c>
      <c r="S196" s="52" t="str">
        <f>IF(AND(ISNUMBER($J196),ISNUMBER($L196)),IF($L196&gt;0,$J196/$L196,""),"")</f>
        <v/>
      </c>
      <c r="T196" s="53" t="str">
        <f>IF(ISNUMBER($A196),YEAR($A196)&amp;"-"&amp;TEXT(MONTH($A196),"00"),"")</f>
        <v/>
      </c>
    </row>
    <row r="197">
      <c r="A197" s="47" t="n"/>
      <c r="B197" s="48" t="n"/>
      <c r="C197" s="48" t="n"/>
      <c r="D197" s="48" t="n"/>
      <c r="E197" s="48" t="n"/>
      <c r="F197" s="49" t="n"/>
      <c r="G197" s="49" t="n"/>
      <c r="H197" s="49" t="n"/>
      <c r="I197" s="49" t="n"/>
      <c r="J197" s="49" t="n"/>
      <c r="K197" s="49" t="n"/>
      <c r="L197" s="49" t="n"/>
      <c r="M197" s="49" t="n"/>
      <c r="N197" s="49" t="n"/>
      <c r="O197" s="49" t="n"/>
      <c r="P197" s="50" t="n"/>
      <c r="Q197" s="51" t="str">
        <f>IF(AND(ISNUMBER($F197),$F197&gt;0,ISNUMBER($G197)),$G197/$F197,"")</f>
        <v/>
      </c>
      <c r="R197" s="51" t="str">
        <f>IF(AND(ISNUMBER($F197),$F197&gt;0,ISNUMBER($H197)),$H197/$F197,"")</f>
        <v/>
      </c>
      <c r="S197" s="52" t="str">
        <f>IF(AND(ISNUMBER($J197),ISNUMBER($L197)),IF($L197&gt;0,$J197/$L197,""),"")</f>
        <v/>
      </c>
      <c r="T197" s="53" t="str">
        <f>IF(ISNUMBER($A197),YEAR($A197)&amp;"-"&amp;TEXT(MONTH($A197),"00"),"")</f>
        <v/>
      </c>
    </row>
    <row r="198">
      <c r="A198" s="47" t="n"/>
      <c r="B198" s="48" t="n"/>
      <c r="C198" s="48" t="n"/>
      <c r="D198" s="48" t="n"/>
      <c r="E198" s="48" t="n"/>
      <c r="F198" s="49" t="n"/>
      <c r="G198" s="49" t="n"/>
      <c r="H198" s="49" t="n"/>
      <c r="I198" s="49" t="n"/>
      <c r="J198" s="49" t="n"/>
      <c r="K198" s="49" t="n"/>
      <c r="L198" s="49" t="n"/>
      <c r="M198" s="49" t="n"/>
      <c r="N198" s="49" t="n"/>
      <c r="O198" s="49" t="n"/>
      <c r="P198" s="50" t="n"/>
      <c r="Q198" s="51" t="str">
        <f>IF(AND(ISNUMBER($F198),$F198&gt;0,ISNUMBER($G198)),$G198/$F198,"")</f>
        <v/>
      </c>
      <c r="R198" s="51" t="str">
        <f>IF(AND(ISNUMBER($F198),$F198&gt;0,ISNUMBER($H198)),$H198/$F198,"")</f>
        <v/>
      </c>
      <c r="S198" s="52" t="str">
        <f>IF(AND(ISNUMBER($J198),ISNUMBER($L198)),IF($L198&gt;0,$J198/$L198,""),"")</f>
        <v/>
      </c>
      <c r="T198" s="53" t="str">
        <f>IF(ISNUMBER($A198),YEAR($A198)&amp;"-"&amp;TEXT(MONTH($A198),"00"),"")</f>
        <v/>
      </c>
    </row>
    <row r="199">
      <c r="A199" s="47" t="n"/>
      <c r="B199" s="48" t="n"/>
      <c r="C199" s="48" t="n"/>
      <c r="D199" s="48" t="n"/>
      <c r="E199" s="48" t="n"/>
      <c r="F199" s="49" t="n"/>
      <c r="G199" s="49" t="n"/>
      <c r="H199" s="49" t="n"/>
      <c r="I199" s="49" t="n"/>
      <c r="J199" s="49" t="n"/>
      <c r="K199" s="49" t="n"/>
      <c r="L199" s="49" t="n"/>
      <c r="M199" s="49" t="n"/>
      <c r="N199" s="49" t="n"/>
      <c r="O199" s="49" t="n"/>
      <c r="P199" s="50" t="n"/>
      <c r="Q199" s="51" t="str">
        <f>IF(AND(ISNUMBER($F199),$F199&gt;0,ISNUMBER($G199)),$G199/$F199,"")</f>
        <v/>
      </c>
      <c r="R199" s="51" t="str">
        <f>IF(AND(ISNUMBER($F199),$F199&gt;0,ISNUMBER($H199)),$H199/$F199,"")</f>
        <v/>
      </c>
      <c r="S199" s="52" t="str">
        <f>IF(AND(ISNUMBER($J199),ISNUMBER($L199)),IF($L199&gt;0,$J199/$L199,""),"")</f>
        <v/>
      </c>
      <c r="T199" s="53" t="str">
        <f>IF(ISNUMBER($A199),YEAR($A199)&amp;"-"&amp;TEXT(MONTH($A199),"00"),"")</f>
        <v/>
      </c>
    </row>
    <row r="200">
      <c r="A200" s="47" t="n"/>
      <c r="B200" s="48" t="n"/>
      <c r="C200" s="48" t="n"/>
      <c r="D200" s="48" t="n"/>
      <c r="E200" s="48" t="n"/>
      <c r="F200" s="49" t="n"/>
      <c r="G200" s="49" t="n"/>
      <c r="H200" s="49" t="n"/>
      <c r="I200" s="49" t="n"/>
      <c r="J200" s="49" t="n"/>
      <c r="K200" s="49" t="n"/>
      <c r="L200" s="49" t="n"/>
      <c r="M200" s="49" t="n"/>
      <c r="N200" s="49" t="n"/>
      <c r="O200" s="49" t="n"/>
      <c r="P200" s="50" t="n"/>
      <c r="Q200" s="51" t="str">
        <f>IF(AND(ISNUMBER($F200),$F200&gt;0,ISNUMBER($G200)),$G200/$F200,"")</f>
        <v/>
      </c>
      <c r="R200" s="51" t="str">
        <f>IF(AND(ISNUMBER($F200),$F200&gt;0,ISNUMBER($H200)),$H200/$F200,"")</f>
        <v/>
      </c>
      <c r="S200" s="52" t="str">
        <f>IF(AND(ISNUMBER($J200),ISNUMBER($L200)),IF($L200&gt;0,$J200/$L200,""),"")</f>
        <v/>
      </c>
      <c r="T200" s="53" t="str">
        <f>IF(ISNUMBER($A200),YEAR($A200)&amp;"-"&amp;TEXT(MONTH($A200),"00"),"")</f>
        <v/>
      </c>
    </row>
    <row r="201">
      <c r="A201" s="47" t="n"/>
      <c r="B201" s="48" t="n"/>
      <c r="C201" s="48" t="n"/>
      <c r="D201" s="48" t="n"/>
      <c r="E201" s="48" t="n"/>
      <c r="F201" s="49" t="n"/>
      <c r="G201" s="49" t="n"/>
      <c r="H201" s="49" t="n"/>
      <c r="I201" s="49" t="n"/>
      <c r="J201" s="49" t="n"/>
      <c r="K201" s="49" t="n"/>
      <c r="L201" s="49" t="n"/>
      <c r="M201" s="49" t="n"/>
      <c r="N201" s="49" t="n"/>
      <c r="O201" s="49" t="n"/>
      <c r="P201" s="50" t="n"/>
      <c r="Q201" s="51" t="str">
        <f>IF(AND(ISNUMBER($F201),$F201&gt;0,ISNUMBER($G201)),$G201/$F201,"")</f>
        <v/>
      </c>
      <c r="R201" s="51" t="str">
        <f>IF(AND(ISNUMBER($F201),$F201&gt;0,ISNUMBER($H201)),$H201/$F201,"")</f>
        <v/>
      </c>
      <c r="S201" s="52" t="str">
        <f>IF(AND(ISNUMBER($J201),ISNUMBER($L201)),IF($L201&gt;0,$J201/$L201,""),"")</f>
        <v/>
      </c>
      <c r="T201" s="53" t="str">
        <f>IF(ISNUMBER($A201),YEAR($A201)&amp;"-"&amp;TEXT(MONTH($A201),"00"),"")</f>
        <v/>
      </c>
    </row>
    <row r="202">
      <c r="A202" s="47" t="n"/>
      <c r="B202" s="48" t="n"/>
      <c r="C202" s="48" t="n"/>
      <c r="D202" s="48" t="n"/>
      <c r="E202" s="48" t="n"/>
      <c r="F202" s="49" t="n"/>
      <c r="G202" s="49" t="n"/>
      <c r="H202" s="49" t="n"/>
      <c r="I202" s="49" t="n"/>
      <c r="J202" s="49" t="n"/>
      <c r="K202" s="49" t="n"/>
      <c r="L202" s="49" t="n"/>
      <c r="M202" s="49" t="n"/>
      <c r="N202" s="49" t="n"/>
      <c r="O202" s="49" t="n"/>
      <c r="P202" s="50" t="n"/>
      <c r="Q202" s="51" t="str">
        <f>IF(AND(ISNUMBER($F202),$F202&gt;0,ISNUMBER($G202)),$G202/$F202,"")</f>
        <v/>
      </c>
      <c r="R202" s="51" t="str">
        <f>IF(AND(ISNUMBER($F202),$F202&gt;0,ISNUMBER($H202)),$H202/$F202,"")</f>
        <v/>
      </c>
      <c r="S202" s="52" t="str">
        <f>IF(AND(ISNUMBER($J202),ISNUMBER($L202)),IF($L202&gt;0,$J202/$L202,""),"")</f>
        <v/>
      </c>
      <c r="T202" s="53" t="str">
        <f>IF(ISNUMBER($A202),YEAR($A202)&amp;"-"&amp;TEXT(MONTH($A202),"00"),"")</f>
        <v/>
      </c>
    </row>
    <row r="203">
      <c r="A203" s="47" t="n"/>
      <c r="B203" s="48" t="n"/>
      <c r="C203" s="48" t="n"/>
      <c r="D203" s="48" t="n"/>
      <c r="E203" s="48" t="n"/>
      <c r="F203" s="49" t="n"/>
      <c r="G203" s="49" t="n"/>
      <c r="H203" s="49" t="n"/>
      <c r="I203" s="49" t="n"/>
      <c r="J203" s="49" t="n"/>
      <c r="K203" s="49" t="n"/>
      <c r="L203" s="49" t="n"/>
      <c r="M203" s="49" t="n"/>
      <c r="N203" s="49" t="n"/>
      <c r="O203" s="49" t="n"/>
      <c r="P203" s="50" t="n"/>
      <c r="Q203" s="51" t="str">
        <f>IF(AND(ISNUMBER($F203),$F203&gt;0,ISNUMBER($G203)),$G203/$F203,"")</f>
        <v/>
      </c>
      <c r="R203" s="51" t="str">
        <f>IF(AND(ISNUMBER($F203),$F203&gt;0,ISNUMBER($H203)),$H203/$F203,"")</f>
        <v/>
      </c>
      <c r="S203" s="52" t="str">
        <f>IF(AND(ISNUMBER($J203),ISNUMBER($L203)),IF($L203&gt;0,$J203/$L203,""),"")</f>
        <v/>
      </c>
      <c r="T203" s="53" t="str">
        <f>IF(ISNUMBER($A203),YEAR($A203)&amp;"-"&amp;TEXT(MONTH($A203),"00"),"")</f>
        <v/>
      </c>
    </row>
    <row r="204">
      <c r="A204" s="47" t="n"/>
      <c r="B204" s="48" t="n"/>
      <c r="C204" s="48" t="n"/>
      <c r="D204" s="48" t="n"/>
      <c r="E204" s="48" t="n"/>
      <c r="F204" s="49" t="n"/>
      <c r="G204" s="49" t="n"/>
      <c r="H204" s="49" t="n"/>
      <c r="I204" s="49" t="n"/>
      <c r="J204" s="49" t="n"/>
      <c r="K204" s="49" t="n"/>
      <c r="L204" s="49" t="n"/>
      <c r="M204" s="49" t="n"/>
      <c r="N204" s="49" t="n"/>
      <c r="O204" s="49" t="n"/>
      <c r="P204" s="50" t="n"/>
      <c r="Q204" s="51" t="str">
        <f>IF(AND(ISNUMBER($F204),$F204&gt;0,ISNUMBER($G204)),$G204/$F204,"")</f>
        <v/>
      </c>
      <c r="R204" s="51" t="str">
        <f>IF(AND(ISNUMBER($F204),$F204&gt;0,ISNUMBER($H204)),$H204/$F204,"")</f>
        <v/>
      </c>
      <c r="S204" s="52" t="str">
        <f>IF(AND(ISNUMBER($J204),ISNUMBER($L204)),IF($L204&gt;0,$J204/$L204,""),"")</f>
        <v/>
      </c>
      <c r="T204" s="53" t="str">
        <f>IF(ISNUMBER($A204),YEAR($A204)&amp;"-"&amp;TEXT(MONTH($A204),"00"),"")</f>
        <v/>
      </c>
    </row>
    <row r="205">
      <c r="A205" s="47" t="n"/>
      <c r="B205" s="48" t="n"/>
      <c r="C205" s="48" t="n"/>
      <c r="D205" s="48" t="n"/>
      <c r="E205" s="48" t="n"/>
      <c r="F205" s="49" t="n"/>
      <c r="G205" s="49" t="n"/>
      <c r="H205" s="49" t="n"/>
      <c r="I205" s="49" t="n"/>
      <c r="J205" s="49" t="n"/>
      <c r="K205" s="49" t="n"/>
      <c r="L205" s="49" t="n"/>
      <c r="M205" s="49" t="n"/>
      <c r="N205" s="49" t="n"/>
      <c r="O205" s="49" t="n"/>
      <c r="P205" s="50" t="n"/>
      <c r="Q205" s="51" t="str">
        <f>IF(AND(ISNUMBER($F205),$F205&gt;0,ISNUMBER($G205)),$G205/$F205,"")</f>
        <v/>
      </c>
      <c r="R205" s="51" t="str">
        <f>IF(AND(ISNUMBER($F205),$F205&gt;0,ISNUMBER($H205)),$H205/$F205,"")</f>
        <v/>
      </c>
      <c r="S205" s="52" t="str">
        <f>IF(AND(ISNUMBER($J205),ISNUMBER($L205)),IF($L205&gt;0,$J205/$L205,""),"")</f>
        <v/>
      </c>
      <c r="T205" s="53" t="str">
        <f>IF(ISNUMBER($A205),YEAR($A205)&amp;"-"&amp;TEXT(MONTH($A205),"00"),"")</f>
        <v/>
      </c>
    </row>
    <row r="206">
      <c r="A206" s="47" t="n"/>
      <c r="B206" s="48" t="n"/>
      <c r="C206" s="48" t="n"/>
      <c r="D206" s="48" t="n"/>
      <c r="E206" s="48" t="n"/>
      <c r="F206" s="49" t="n"/>
      <c r="G206" s="49" t="n"/>
      <c r="H206" s="49" t="n"/>
      <c r="I206" s="49" t="n"/>
      <c r="J206" s="49" t="n"/>
      <c r="K206" s="49" t="n"/>
      <c r="L206" s="49" t="n"/>
      <c r="M206" s="49" t="n"/>
      <c r="N206" s="49" t="n"/>
      <c r="O206" s="49" t="n"/>
      <c r="P206" s="50" t="n"/>
      <c r="Q206" s="51" t="str">
        <f>IF(AND(ISNUMBER($F206),$F206&gt;0,ISNUMBER($G206)),$G206/$F206,"")</f>
        <v/>
      </c>
      <c r="R206" s="51" t="str">
        <f>IF(AND(ISNUMBER($F206),$F206&gt;0,ISNUMBER($H206)),$H206/$F206,"")</f>
        <v/>
      </c>
      <c r="S206" s="52" t="str">
        <f>IF(AND(ISNUMBER($J206),ISNUMBER($L206)),IF($L206&gt;0,$J206/$L206,""),"")</f>
        <v/>
      </c>
      <c r="T206" s="53" t="str">
        <f>IF(ISNUMBER($A206),YEAR($A206)&amp;"-"&amp;TEXT(MONTH($A206),"00"),"")</f>
        <v/>
      </c>
    </row>
    <row r="207">
      <c r="A207" s="47" t="n"/>
      <c r="B207" s="48" t="n"/>
      <c r="C207" s="48" t="n"/>
      <c r="D207" s="48" t="n"/>
      <c r="E207" s="48" t="n"/>
      <c r="F207" s="49" t="n"/>
      <c r="G207" s="49" t="n"/>
      <c r="H207" s="49" t="n"/>
      <c r="I207" s="49" t="n"/>
      <c r="J207" s="49" t="n"/>
      <c r="K207" s="49" t="n"/>
      <c r="L207" s="49" t="n"/>
      <c r="M207" s="49" t="n"/>
      <c r="N207" s="49" t="n"/>
      <c r="O207" s="49" t="n"/>
      <c r="P207" s="50" t="n"/>
      <c r="Q207" s="51" t="str">
        <f>IF(AND(ISNUMBER($F207),$F207&gt;0,ISNUMBER($G207)),$G207/$F207,"")</f>
        <v/>
      </c>
      <c r="R207" s="51" t="str">
        <f>IF(AND(ISNUMBER($F207),$F207&gt;0,ISNUMBER($H207)),$H207/$F207,"")</f>
        <v/>
      </c>
      <c r="S207" s="52" t="str">
        <f>IF(AND(ISNUMBER($J207),ISNUMBER($L207)),IF($L207&gt;0,$J207/$L207,""),"")</f>
        <v/>
      </c>
      <c r="T207" s="53" t="str">
        <f>IF(ISNUMBER($A207),YEAR($A207)&amp;"-"&amp;TEXT(MONTH($A207),"00"),"")</f>
        <v/>
      </c>
    </row>
    <row r="208">
      <c r="A208" s="47" t="n"/>
      <c r="B208" s="48" t="n"/>
      <c r="C208" s="48" t="n"/>
      <c r="D208" s="48" t="n"/>
      <c r="E208" s="48" t="n"/>
      <c r="F208" s="49" t="n"/>
      <c r="G208" s="49" t="n"/>
      <c r="H208" s="49" t="n"/>
      <c r="I208" s="49" t="n"/>
      <c r="J208" s="49" t="n"/>
      <c r="K208" s="49" t="n"/>
      <c r="L208" s="49" t="n"/>
      <c r="M208" s="49" t="n"/>
      <c r="N208" s="49" t="n"/>
      <c r="O208" s="49" t="n"/>
      <c r="P208" s="50" t="n"/>
      <c r="Q208" s="51" t="str">
        <f>IF(AND(ISNUMBER($F208),$F208&gt;0,ISNUMBER($G208)),$G208/$F208,"")</f>
        <v/>
      </c>
      <c r="R208" s="51" t="str">
        <f>IF(AND(ISNUMBER($F208),$F208&gt;0,ISNUMBER($H208)),$H208/$F208,"")</f>
        <v/>
      </c>
      <c r="S208" s="52" t="str">
        <f>IF(AND(ISNUMBER($J208),ISNUMBER($L208)),IF($L208&gt;0,$J208/$L208,""),"")</f>
        <v/>
      </c>
      <c r="T208" s="53" t="str">
        <f>IF(ISNUMBER($A208),YEAR($A208)&amp;"-"&amp;TEXT(MONTH($A208),"00"),"")</f>
        <v/>
      </c>
    </row>
    <row r="209">
      <c r="A209" s="47" t="n"/>
      <c r="B209" s="48" t="n"/>
      <c r="C209" s="48" t="n"/>
      <c r="D209" s="48" t="n"/>
      <c r="E209" s="48" t="n"/>
      <c r="F209" s="49" t="n"/>
      <c r="G209" s="49" t="n"/>
      <c r="H209" s="49" t="n"/>
      <c r="I209" s="49" t="n"/>
      <c r="J209" s="49" t="n"/>
      <c r="K209" s="49" t="n"/>
      <c r="L209" s="49" t="n"/>
      <c r="M209" s="49" t="n"/>
      <c r="N209" s="49" t="n"/>
      <c r="O209" s="49" t="n"/>
      <c r="P209" s="50" t="n"/>
      <c r="Q209" s="51" t="str">
        <f>IF(AND(ISNUMBER($F209),$F209&gt;0,ISNUMBER($G209)),$G209/$F209,"")</f>
        <v/>
      </c>
      <c r="R209" s="51" t="str">
        <f>IF(AND(ISNUMBER($F209),$F209&gt;0,ISNUMBER($H209)),$H209/$F209,"")</f>
        <v/>
      </c>
      <c r="S209" s="52" t="str">
        <f>IF(AND(ISNUMBER($J209),ISNUMBER($L209)),IF($L209&gt;0,$J209/$L209,""),"")</f>
        <v/>
      </c>
      <c r="T209" s="53" t="str">
        <f>IF(ISNUMBER($A209),YEAR($A209)&amp;"-"&amp;TEXT(MONTH($A209),"00"),"")</f>
        <v/>
      </c>
    </row>
    <row r="210">
      <c r="A210" s="47" t="n"/>
      <c r="B210" s="48" t="n"/>
      <c r="C210" s="48" t="n"/>
      <c r="D210" s="48" t="n"/>
      <c r="E210" s="48" t="n"/>
      <c r="F210" s="49" t="n"/>
      <c r="G210" s="49" t="n"/>
      <c r="H210" s="49" t="n"/>
      <c r="I210" s="49" t="n"/>
      <c r="J210" s="49" t="n"/>
      <c r="K210" s="49" t="n"/>
      <c r="L210" s="49" t="n"/>
      <c r="M210" s="49" t="n"/>
      <c r="N210" s="49" t="n"/>
      <c r="O210" s="49" t="n"/>
      <c r="P210" s="50" t="n"/>
      <c r="Q210" s="51" t="str">
        <f>IF(AND(ISNUMBER($F210),$F210&gt;0,ISNUMBER($G210)),$G210/$F210,"")</f>
        <v/>
      </c>
      <c r="R210" s="51" t="str">
        <f>IF(AND(ISNUMBER($F210),$F210&gt;0,ISNUMBER($H210)),$H210/$F210,"")</f>
        <v/>
      </c>
      <c r="S210" s="52" t="str">
        <f>IF(AND(ISNUMBER($J210),ISNUMBER($L210)),IF($L210&gt;0,$J210/$L210,""),"")</f>
        <v/>
      </c>
      <c r="T210" s="53" t="str">
        <f>IF(ISNUMBER($A210),YEAR($A210)&amp;"-"&amp;TEXT(MONTH($A210),"00"),"")</f>
        <v/>
      </c>
    </row>
    <row r="211">
      <c r="A211" s="47" t="n"/>
      <c r="B211" s="48" t="n"/>
      <c r="C211" s="48" t="n"/>
      <c r="D211" s="48" t="n"/>
      <c r="E211" s="48" t="n"/>
      <c r="F211" s="49" t="n"/>
      <c r="G211" s="49" t="n"/>
      <c r="H211" s="49" t="n"/>
      <c r="I211" s="49" t="n"/>
      <c r="J211" s="49" t="n"/>
      <c r="K211" s="49" t="n"/>
      <c r="L211" s="49" t="n"/>
      <c r="M211" s="49" t="n"/>
      <c r="N211" s="49" t="n"/>
      <c r="O211" s="49" t="n"/>
      <c r="P211" s="50" t="n"/>
      <c r="Q211" s="51" t="str">
        <f>IF(AND(ISNUMBER($F211),$F211&gt;0,ISNUMBER($G211)),$G211/$F211,"")</f>
        <v/>
      </c>
      <c r="R211" s="51" t="str">
        <f>IF(AND(ISNUMBER($F211),$F211&gt;0,ISNUMBER($H211)),$H211/$F211,"")</f>
        <v/>
      </c>
      <c r="S211" s="52" t="str">
        <f>IF(AND(ISNUMBER($J211),ISNUMBER($L211)),IF($L211&gt;0,$J211/$L211,""),"")</f>
        <v/>
      </c>
      <c r="T211" s="53" t="str">
        <f>IF(ISNUMBER($A211),YEAR($A211)&amp;"-"&amp;TEXT(MONTH($A211),"00"),"")</f>
        <v/>
      </c>
    </row>
    <row r="212">
      <c r="A212" s="47" t="n"/>
      <c r="B212" s="48" t="n"/>
      <c r="C212" s="48" t="n"/>
      <c r="D212" s="48" t="n"/>
      <c r="E212" s="48" t="n"/>
      <c r="F212" s="49" t="n"/>
      <c r="G212" s="49" t="n"/>
      <c r="H212" s="49" t="n"/>
      <c r="I212" s="49" t="n"/>
      <c r="J212" s="49" t="n"/>
      <c r="K212" s="49" t="n"/>
      <c r="L212" s="49" t="n"/>
      <c r="M212" s="49" t="n"/>
      <c r="N212" s="49" t="n"/>
      <c r="O212" s="49" t="n"/>
      <c r="P212" s="50" t="n"/>
      <c r="Q212" s="51" t="str">
        <f>IF(AND(ISNUMBER($F212),$F212&gt;0,ISNUMBER($G212)),$G212/$F212,"")</f>
        <v/>
      </c>
      <c r="R212" s="51" t="str">
        <f>IF(AND(ISNUMBER($F212),$F212&gt;0,ISNUMBER($H212)),$H212/$F212,"")</f>
        <v/>
      </c>
      <c r="S212" s="52" t="str">
        <f>IF(AND(ISNUMBER($J212),ISNUMBER($L212)),IF($L212&gt;0,$J212/$L212,""),"")</f>
        <v/>
      </c>
      <c r="T212" s="53" t="str">
        <f>IF(ISNUMBER($A212),YEAR($A212)&amp;"-"&amp;TEXT(MONTH($A212),"00"),"")</f>
        <v/>
      </c>
    </row>
    <row r="213">
      <c r="A213" s="47" t="n"/>
      <c r="B213" s="48" t="n"/>
      <c r="C213" s="48" t="n"/>
      <c r="D213" s="48" t="n"/>
      <c r="E213" s="48" t="n"/>
      <c r="F213" s="49" t="n"/>
      <c r="G213" s="49" t="n"/>
      <c r="H213" s="49" t="n"/>
      <c r="I213" s="49" t="n"/>
      <c r="J213" s="49" t="n"/>
      <c r="K213" s="49" t="n"/>
      <c r="L213" s="49" t="n"/>
      <c r="M213" s="49" t="n"/>
      <c r="N213" s="49" t="n"/>
      <c r="O213" s="49" t="n"/>
      <c r="P213" s="50" t="n"/>
      <c r="Q213" s="51" t="str">
        <f>IF(AND(ISNUMBER($F213),$F213&gt;0,ISNUMBER($G213)),$G213/$F213,"")</f>
        <v/>
      </c>
      <c r="R213" s="51" t="str">
        <f>IF(AND(ISNUMBER($F213),$F213&gt;0,ISNUMBER($H213)),$H213/$F213,"")</f>
        <v/>
      </c>
      <c r="S213" s="52" t="str">
        <f>IF(AND(ISNUMBER($J213),ISNUMBER($L213)),IF($L213&gt;0,$J213/$L213,""),"")</f>
        <v/>
      </c>
      <c r="T213" s="53" t="str">
        <f>IF(ISNUMBER($A213),YEAR($A213)&amp;"-"&amp;TEXT(MONTH($A213),"00"),"")</f>
        <v/>
      </c>
    </row>
    <row r="214">
      <c r="A214" s="47" t="n"/>
      <c r="B214" s="48" t="n"/>
      <c r="C214" s="48" t="n"/>
      <c r="D214" s="48" t="n"/>
      <c r="E214" s="48" t="n"/>
      <c r="F214" s="49" t="n"/>
      <c r="G214" s="49" t="n"/>
      <c r="H214" s="49" t="n"/>
      <c r="I214" s="49" t="n"/>
      <c r="J214" s="49" t="n"/>
      <c r="K214" s="49" t="n"/>
      <c r="L214" s="49" t="n"/>
      <c r="M214" s="49" t="n"/>
      <c r="N214" s="49" t="n"/>
      <c r="O214" s="49" t="n"/>
      <c r="P214" s="50" t="n"/>
      <c r="Q214" s="51" t="str">
        <f>IF(AND(ISNUMBER($F214),$F214&gt;0,ISNUMBER($G214)),$G214/$F214,"")</f>
        <v/>
      </c>
      <c r="R214" s="51" t="str">
        <f>IF(AND(ISNUMBER($F214),$F214&gt;0,ISNUMBER($H214)),$H214/$F214,"")</f>
        <v/>
      </c>
      <c r="S214" s="52" t="str">
        <f>IF(AND(ISNUMBER($J214),ISNUMBER($L214)),IF($L214&gt;0,$J214/$L214,""),"")</f>
        <v/>
      </c>
      <c r="T214" s="53" t="str">
        <f>IF(ISNUMBER($A214),YEAR($A214)&amp;"-"&amp;TEXT(MONTH($A214),"00"),"")</f>
        <v/>
      </c>
    </row>
    <row r="215">
      <c r="A215" s="47" t="n"/>
      <c r="B215" s="48" t="n"/>
      <c r="C215" s="48" t="n"/>
      <c r="D215" s="48" t="n"/>
      <c r="E215" s="48" t="n"/>
      <c r="F215" s="49" t="n"/>
      <c r="G215" s="49" t="n"/>
      <c r="H215" s="49" t="n"/>
      <c r="I215" s="49" t="n"/>
      <c r="J215" s="49" t="n"/>
      <c r="K215" s="49" t="n"/>
      <c r="L215" s="49" t="n"/>
      <c r="M215" s="49" t="n"/>
      <c r="N215" s="49" t="n"/>
      <c r="O215" s="49" t="n"/>
      <c r="P215" s="50" t="n"/>
      <c r="Q215" s="51" t="str">
        <f>IF(AND(ISNUMBER($F215),$F215&gt;0,ISNUMBER($G215)),$G215/$F215,"")</f>
        <v/>
      </c>
      <c r="R215" s="51" t="str">
        <f>IF(AND(ISNUMBER($F215),$F215&gt;0,ISNUMBER($H215)),$H215/$F215,"")</f>
        <v/>
      </c>
      <c r="S215" s="52" t="str">
        <f>IF(AND(ISNUMBER($J215),ISNUMBER($L215)),IF($L215&gt;0,$J215/$L215,""),"")</f>
        <v/>
      </c>
      <c r="T215" s="53" t="str">
        <f>IF(ISNUMBER($A215),YEAR($A215)&amp;"-"&amp;TEXT(MONTH($A215),"00"),"")</f>
        <v/>
      </c>
    </row>
    <row r="216">
      <c r="A216" s="47" t="n"/>
      <c r="B216" s="48" t="n"/>
      <c r="C216" s="48" t="n"/>
      <c r="D216" s="48" t="n"/>
      <c r="E216" s="48" t="n"/>
      <c r="F216" s="49" t="n"/>
      <c r="G216" s="49" t="n"/>
      <c r="H216" s="49" t="n"/>
      <c r="I216" s="49" t="n"/>
      <c r="J216" s="49" t="n"/>
      <c r="K216" s="49" t="n"/>
      <c r="L216" s="49" t="n"/>
      <c r="M216" s="49" t="n"/>
      <c r="N216" s="49" t="n"/>
      <c r="O216" s="49" t="n"/>
      <c r="P216" s="50" t="n"/>
      <c r="Q216" s="51" t="str">
        <f>IF(AND(ISNUMBER($F216),$F216&gt;0,ISNUMBER($G216)),$G216/$F216,"")</f>
        <v/>
      </c>
      <c r="R216" s="51" t="str">
        <f>IF(AND(ISNUMBER($F216),$F216&gt;0,ISNUMBER($H216)),$H216/$F216,"")</f>
        <v/>
      </c>
      <c r="S216" s="52" t="str">
        <f>IF(AND(ISNUMBER($J216),ISNUMBER($L216)),IF($L216&gt;0,$J216/$L216,""),"")</f>
        <v/>
      </c>
      <c r="T216" s="53" t="str">
        <f>IF(ISNUMBER($A216),YEAR($A216)&amp;"-"&amp;TEXT(MONTH($A216),"00"),"")</f>
        <v/>
      </c>
    </row>
    <row r="217">
      <c r="A217" s="47" t="n"/>
      <c r="B217" s="48" t="n"/>
      <c r="C217" s="48" t="n"/>
      <c r="D217" s="48" t="n"/>
      <c r="E217" s="48" t="n"/>
      <c r="F217" s="49" t="n"/>
      <c r="G217" s="49" t="n"/>
      <c r="H217" s="49" t="n"/>
      <c r="I217" s="49" t="n"/>
      <c r="J217" s="49" t="n"/>
      <c r="K217" s="49" t="n"/>
      <c r="L217" s="49" t="n"/>
      <c r="M217" s="49" t="n"/>
      <c r="N217" s="49" t="n"/>
      <c r="O217" s="49" t="n"/>
      <c r="P217" s="50" t="n"/>
      <c r="Q217" s="51" t="str">
        <f>IF(AND(ISNUMBER($F217),$F217&gt;0,ISNUMBER($G217)),$G217/$F217,"")</f>
        <v/>
      </c>
      <c r="R217" s="51" t="str">
        <f>IF(AND(ISNUMBER($F217),$F217&gt;0,ISNUMBER($H217)),$H217/$F217,"")</f>
        <v/>
      </c>
      <c r="S217" s="52" t="str">
        <f>IF(AND(ISNUMBER($J217),ISNUMBER($L217)),IF($L217&gt;0,$J217/$L217,""),"")</f>
        <v/>
      </c>
      <c r="T217" s="53" t="str">
        <f>IF(ISNUMBER($A217),YEAR($A217)&amp;"-"&amp;TEXT(MONTH($A217),"00"),"")</f>
        <v/>
      </c>
    </row>
    <row r="218">
      <c r="A218" s="47" t="n"/>
      <c r="B218" s="48" t="n"/>
      <c r="C218" s="48" t="n"/>
      <c r="D218" s="48" t="n"/>
      <c r="E218" s="48" t="n"/>
      <c r="F218" s="49" t="n"/>
      <c r="G218" s="49" t="n"/>
      <c r="H218" s="49" t="n"/>
      <c r="I218" s="49" t="n"/>
      <c r="J218" s="49" t="n"/>
      <c r="K218" s="49" t="n"/>
      <c r="L218" s="49" t="n"/>
      <c r="M218" s="49" t="n"/>
      <c r="N218" s="49" t="n"/>
      <c r="O218" s="49" t="n"/>
      <c r="P218" s="50" t="n"/>
      <c r="Q218" s="51" t="str">
        <f>IF(AND(ISNUMBER($F218),$F218&gt;0,ISNUMBER($G218)),$G218/$F218,"")</f>
        <v/>
      </c>
      <c r="R218" s="51" t="str">
        <f>IF(AND(ISNUMBER($F218),$F218&gt;0,ISNUMBER($H218)),$H218/$F218,"")</f>
        <v/>
      </c>
      <c r="S218" s="52" t="str">
        <f>IF(AND(ISNUMBER($J218),ISNUMBER($L218)),IF($L218&gt;0,$J218/$L218,""),"")</f>
        <v/>
      </c>
      <c r="T218" s="53" t="str">
        <f>IF(ISNUMBER($A218),YEAR($A218)&amp;"-"&amp;TEXT(MONTH($A218),"00"),"")</f>
        <v/>
      </c>
    </row>
    <row r="219">
      <c r="A219" s="47" t="n"/>
      <c r="B219" s="48" t="n"/>
      <c r="C219" s="48" t="n"/>
      <c r="D219" s="48" t="n"/>
      <c r="E219" s="48" t="n"/>
      <c r="F219" s="49" t="n"/>
      <c r="G219" s="49" t="n"/>
      <c r="H219" s="49" t="n"/>
      <c r="I219" s="49" t="n"/>
      <c r="J219" s="49" t="n"/>
      <c r="K219" s="49" t="n"/>
      <c r="L219" s="49" t="n"/>
      <c r="M219" s="49" t="n"/>
      <c r="N219" s="49" t="n"/>
      <c r="O219" s="49" t="n"/>
      <c r="P219" s="50" t="n"/>
      <c r="Q219" s="51" t="str">
        <f>IF(AND(ISNUMBER($F219),$F219&gt;0,ISNUMBER($G219)),$G219/$F219,"")</f>
        <v/>
      </c>
      <c r="R219" s="51" t="str">
        <f>IF(AND(ISNUMBER($F219),$F219&gt;0,ISNUMBER($H219)),$H219/$F219,"")</f>
        <v/>
      </c>
      <c r="S219" s="52" t="str">
        <f>IF(AND(ISNUMBER($J219),ISNUMBER($L219)),IF($L219&gt;0,$J219/$L219,""),"")</f>
        <v/>
      </c>
      <c r="T219" s="53" t="str">
        <f>IF(ISNUMBER($A219),YEAR($A219)&amp;"-"&amp;TEXT(MONTH($A219),"00"),"")</f>
        <v/>
      </c>
    </row>
    <row r="220">
      <c r="A220" s="47" t="n"/>
      <c r="B220" s="48" t="n"/>
      <c r="C220" s="48" t="n"/>
      <c r="D220" s="48" t="n"/>
      <c r="E220" s="48" t="n"/>
      <c r="F220" s="49" t="n"/>
      <c r="G220" s="49" t="n"/>
      <c r="H220" s="49" t="n"/>
      <c r="I220" s="49" t="n"/>
      <c r="J220" s="49" t="n"/>
      <c r="K220" s="49" t="n"/>
      <c r="L220" s="49" t="n"/>
      <c r="M220" s="49" t="n"/>
      <c r="N220" s="49" t="n"/>
      <c r="O220" s="49" t="n"/>
      <c r="P220" s="50" t="n"/>
      <c r="Q220" s="51" t="str">
        <f>IF(AND(ISNUMBER($F220),$F220&gt;0,ISNUMBER($G220)),$G220/$F220,"")</f>
        <v/>
      </c>
      <c r="R220" s="51" t="str">
        <f>IF(AND(ISNUMBER($F220),$F220&gt;0,ISNUMBER($H220)),$H220/$F220,"")</f>
        <v/>
      </c>
      <c r="S220" s="52" t="str">
        <f>IF(AND(ISNUMBER($J220),ISNUMBER($L220)),IF($L220&gt;0,$J220/$L220,""),"")</f>
        <v/>
      </c>
      <c r="T220" s="53" t="str">
        <f>IF(ISNUMBER($A220),YEAR($A220)&amp;"-"&amp;TEXT(MONTH($A220),"00"),"")</f>
        <v/>
      </c>
    </row>
    <row r="221">
      <c r="A221" s="47" t="n"/>
      <c r="B221" s="48" t="n"/>
      <c r="C221" s="48" t="n"/>
      <c r="D221" s="48" t="n"/>
      <c r="E221" s="48" t="n"/>
      <c r="F221" s="49" t="n"/>
      <c r="G221" s="49" t="n"/>
      <c r="H221" s="49" t="n"/>
      <c r="I221" s="49" t="n"/>
      <c r="J221" s="49" t="n"/>
      <c r="K221" s="49" t="n"/>
      <c r="L221" s="49" t="n"/>
      <c r="M221" s="49" t="n"/>
      <c r="N221" s="49" t="n"/>
      <c r="O221" s="49" t="n"/>
      <c r="P221" s="50" t="n"/>
      <c r="Q221" s="51" t="str">
        <f>IF(AND(ISNUMBER($F221),$F221&gt;0,ISNUMBER($G221)),$G221/$F221,"")</f>
        <v/>
      </c>
      <c r="R221" s="51" t="str">
        <f>IF(AND(ISNUMBER($F221),$F221&gt;0,ISNUMBER($H221)),$H221/$F221,"")</f>
        <v/>
      </c>
      <c r="S221" s="52" t="str">
        <f>IF(AND(ISNUMBER($J221),ISNUMBER($L221)),IF($L221&gt;0,$J221/$L221,""),"")</f>
        <v/>
      </c>
      <c r="T221" s="53" t="str">
        <f>IF(ISNUMBER($A221),YEAR($A221)&amp;"-"&amp;TEXT(MONTH($A221),"00"),"")</f>
        <v/>
      </c>
    </row>
    <row r="222">
      <c r="A222" s="47" t="n"/>
      <c r="B222" s="48" t="n"/>
      <c r="C222" s="48" t="n"/>
      <c r="D222" s="48" t="n"/>
      <c r="E222" s="48" t="n"/>
      <c r="F222" s="49" t="n"/>
      <c r="G222" s="49" t="n"/>
      <c r="H222" s="49" t="n"/>
      <c r="I222" s="49" t="n"/>
      <c r="J222" s="49" t="n"/>
      <c r="K222" s="49" t="n"/>
      <c r="L222" s="49" t="n"/>
      <c r="M222" s="49" t="n"/>
      <c r="N222" s="49" t="n"/>
      <c r="O222" s="49" t="n"/>
      <c r="P222" s="50" t="n"/>
      <c r="Q222" s="51" t="str">
        <f>IF(AND(ISNUMBER($F222),$F222&gt;0,ISNUMBER($G222)),$G222/$F222,"")</f>
        <v/>
      </c>
      <c r="R222" s="51" t="str">
        <f>IF(AND(ISNUMBER($F222),$F222&gt;0,ISNUMBER($H222)),$H222/$F222,"")</f>
        <v/>
      </c>
      <c r="S222" s="52" t="str">
        <f>IF(AND(ISNUMBER($J222),ISNUMBER($L222)),IF($L222&gt;0,$J222/$L222,""),"")</f>
        <v/>
      </c>
      <c r="T222" s="53" t="str">
        <f>IF(ISNUMBER($A222),YEAR($A222)&amp;"-"&amp;TEXT(MONTH($A222),"00"),"")</f>
        <v/>
      </c>
    </row>
    <row r="223">
      <c r="A223" s="47" t="n"/>
      <c r="B223" s="48" t="n"/>
      <c r="C223" s="48" t="n"/>
      <c r="D223" s="48" t="n"/>
      <c r="E223" s="48" t="n"/>
      <c r="F223" s="49" t="n"/>
      <c r="G223" s="49" t="n"/>
      <c r="H223" s="49" t="n"/>
      <c r="I223" s="49" t="n"/>
      <c r="J223" s="49" t="n"/>
      <c r="K223" s="49" t="n"/>
      <c r="L223" s="49" t="n"/>
      <c r="M223" s="49" t="n"/>
      <c r="N223" s="49" t="n"/>
      <c r="O223" s="49" t="n"/>
      <c r="P223" s="50" t="n"/>
      <c r="Q223" s="51" t="str">
        <f>IF(AND(ISNUMBER($F223),$F223&gt;0,ISNUMBER($G223)),$G223/$F223,"")</f>
        <v/>
      </c>
      <c r="R223" s="51" t="str">
        <f>IF(AND(ISNUMBER($F223),$F223&gt;0,ISNUMBER($H223)),$H223/$F223,"")</f>
        <v/>
      </c>
      <c r="S223" s="52" t="str">
        <f>IF(AND(ISNUMBER($J223),ISNUMBER($L223)),IF($L223&gt;0,$J223/$L223,""),"")</f>
        <v/>
      </c>
      <c r="T223" s="53" t="str">
        <f>IF(ISNUMBER($A223),YEAR($A223)&amp;"-"&amp;TEXT(MONTH($A223),"00"),"")</f>
        <v/>
      </c>
    </row>
    <row r="224">
      <c r="A224" s="47" t="n"/>
      <c r="B224" s="48" t="n"/>
      <c r="C224" s="48" t="n"/>
      <c r="D224" s="48" t="n"/>
      <c r="E224" s="48" t="n"/>
      <c r="F224" s="49" t="n"/>
      <c r="G224" s="49" t="n"/>
      <c r="H224" s="49" t="n"/>
      <c r="I224" s="49" t="n"/>
      <c r="J224" s="49" t="n"/>
      <c r="K224" s="49" t="n"/>
      <c r="L224" s="49" t="n"/>
      <c r="M224" s="49" t="n"/>
      <c r="N224" s="49" t="n"/>
      <c r="O224" s="49" t="n"/>
      <c r="P224" s="50" t="n"/>
      <c r="Q224" s="51" t="str">
        <f>IF(AND(ISNUMBER($F224),$F224&gt;0,ISNUMBER($G224)),$G224/$F224,"")</f>
        <v/>
      </c>
      <c r="R224" s="51" t="str">
        <f>IF(AND(ISNUMBER($F224),$F224&gt;0,ISNUMBER($H224)),$H224/$F224,"")</f>
        <v/>
      </c>
      <c r="S224" s="52" t="str">
        <f>IF(AND(ISNUMBER($J224),ISNUMBER($L224)),IF($L224&gt;0,$J224/$L224,""),"")</f>
        <v/>
      </c>
      <c r="T224" s="53" t="str">
        <f>IF(ISNUMBER($A224),YEAR($A224)&amp;"-"&amp;TEXT(MONTH($A224),"00"),"")</f>
        <v/>
      </c>
    </row>
    <row r="225">
      <c r="A225" s="47" t="n"/>
      <c r="B225" s="48" t="n"/>
      <c r="C225" s="48" t="n"/>
      <c r="D225" s="48" t="n"/>
      <c r="E225" s="48" t="n"/>
      <c r="F225" s="49" t="n"/>
      <c r="G225" s="49" t="n"/>
      <c r="H225" s="49" t="n"/>
      <c r="I225" s="49" t="n"/>
      <c r="J225" s="49" t="n"/>
      <c r="K225" s="49" t="n"/>
      <c r="L225" s="49" t="n"/>
      <c r="M225" s="49" t="n"/>
      <c r="N225" s="49" t="n"/>
      <c r="O225" s="49" t="n"/>
      <c r="P225" s="50" t="n"/>
      <c r="Q225" s="51" t="str">
        <f>IF(AND(ISNUMBER($F225),$F225&gt;0,ISNUMBER($G225)),$G225/$F225,"")</f>
        <v/>
      </c>
      <c r="R225" s="51" t="str">
        <f>IF(AND(ISNUMBER($F225),$F225&gt;0,ISNUMBER($H225)),$H225/$F225,"")</f>
        <v/>
      </c>
      <c r="S225" s="52" t="str">
        <f>IF(AND(ISNUMBER($J225),ISNUMBER($L225)),IF($L225&gt;0,$J225/$L225,""),"")</f>
        <v/>
      </c>
      <c r="T225" s="53" t="str">
        <f>IF(ISNUMBER($A225),YEAR($A225)&amp;"-"&amp;TEXT(MONTH($A225),"00"),"")</f>
        <v/>
      </c>
    </row>
    <row r="226">
      <c r="A226" s="47" t="n"/>
      <c r="B226" s="48" t="n"/>
      <c r="C226" s="48" t="n"/>
      <c r="D226" s="48" t="n"/>
      <c r="E226" s="48" t="n"/>
      <c r="F226" s="49" t="n"/>
      <c r="G226" s="49" t="n"/>
      <c r="H226" s="49" t="n"/>
      <c r="I226" s="49" t="n"/>
      <c r="J226" s="49" t="n"/>
      <c r="K226" s="49" t="n"/>
      <c r="L226" s="49" t="n"/>
      <c r="M226" s="49" t="n"/>
      <c r="N226" s="49" t="n"/>
      <c r="O226" s="49" t="n"/>
      <c r="P226" s="50" t="n"/>
      <c r="Q226" s="51" t="str">
        <f>IF(AND(ISNUMBER($F226),$F226&gt;0,ISNUMBER($G226)),$G226/$F226,"")</f>
        <v/>
      </c>
      <c r="R226" s="51" t="str">
        <f>IF(AND(ISNUMBER($F226),$F226&gt;0,ISNUMBER($H226)),$H226/$F226,"")</f>
        <v/>
      </c>
      <c r="S226" s="52" t="str">
        <f>IF(AND(ISNUMBER($J226),ISNUMBER($L226)),IF($L226&gt;0,$J226/$L226,""),"")</f>
        <v/>
      </c>
      <c r="T226" s="53" t="str">
        <f>IF(ISNUMBER($A226),YEAR($A226)&amp;"-"&amp;TEXT(MONTH($A226),"00"),"")</f>
        <v/>
      </c>
    </row>
    <row r="227">
      <c r="A227" s="47" t="n"/>
      <c r="B227" s="48" t="n"/>
      <c r="C227" s="48" t="n"/>
      <c r="D227" s="48" t="n"/>
      <c r="E227" s="48" t="n"/>
      <c r="F227" s="49" t="n"/>
      <c r="G227" s="49" t="n"/>
      <c r="H227" s="49" t="n"/>
      <c r="I227" s="49" t="n"/>
      <c r="J227" s="49" t="n"/>
      <c r="K227" s="49" t="n"/>
      <c r="L227" s="49" t="n"/>
      <c r="M227" s="49" t="n"/>
      <c r="N227" s="49" t="n"/>
      <c r="O227" s="49" t="n"/>
      <c r="P227" s="50" t="n"/>
      <c r="Q227" s="51" t="str">
        <f>IF(AND(ISNUMBER($F227),$F227&gt;0,ISNUMBER($G227)),$G227/$F227,"")</f>
        <v/>
      </c>
      <c r="R227" s="51" t="str">
        <f>IF(AND(ISNUMBER($F227),$F227&gt;0,ISNUMBER($H227)),$H227/$F227,"")</f>
        <v/>
      </c>
      <c r="S227" s="52" t="str">
        <f>IF(AND(ISNUMBER($J227),ISNUMBER($L227)),IF($L227&gt;0,$J227/$L227,""),"")</f>
        <v/>
      </c>
      <c r="T227" s="53" t="str">
        <f>IF(ISNUMBER($A227),YEAR($A227)&amp;"-"&amp;TEXT(MONTH($A227),"00"),"")</f>
        <v/>
      </c>
    </row>
    <row r="228">
      <c r="A228" s="47" t="n"/>
      <c r="B228" s="48" t="n"/>
      <c r="C228" s="48" t="n"/>
      <c r="D228" s="48" t="n"/>
      <c r="E228" s="48" t="n"/>
      <c r="F228" s="49" t="n"/>
      <c r="G228" s="49" t="n"/>
      <c r="H228" s="49" t="n"/>
      <c r="I228" s="49" t="n"/>
      <c r="J228" s="49" t="n"/>
      <c r="K228" s="49" t="n"/>
      <c r="L228" s="49" t="n"/>
      <c r="M228" s="49" t="n"/>
      <c r="N228" s="49" t="n"/>
      <c r="O228" s="49" t="n"/>
      <c r="P228" s="50" t="n"/>
      <c r="Q228" s="51" t="str">
        <f>IF(AND(ISNUMBER($F228),$F228&gt;0,ISNUMBER($G228)),$G228/$F228,"")</f>
        <v/>
      </c>
      <c r="R228" s="51" t="str">
        <f>IF(AND(ISNUMBER($F228),$F228&gt;0,ISNUMBER($H228)),$H228/$F228,"")</f>
        <v/>
      </c>
      <c r="S228" s="52" t="str">
        <f>IF(AND(ISNUMBER($J228),ISNUMBER($L228)),IF($L228&gt;0,$J228/$L228,""),"")</f>
        <v/>
      </c>
      <c r="T228" s="53" t="str">
        <f>IF(ISNUMBER($A228),YEAR($A228)&amp;"-"&amp;TEXT(MONTH($A228),"00"),"")</f>
        <v/>
      </c>
    </row>
    <row r="229">
      <c r="A229" s="47" t="n"/>
      <c r="B229" s="48" t="n"/>
      <c r="C229" s="48" t="n"/>
      <c r="D229" s="48" t="n"/>
      <c r="E229" s="48" t="n"/>
      <c r="F229" s="49" t="n"/>
      <c r="G229" s="49" t="n"/>
      <c r="H229" s="49" t="n"/>
      <c r="I229" s="49" t="n"/>
      <c r="J229" s="49" t="n"/>
      <c r="K229" s="49" t="n"/>
      <c r="L229" s="49" t="n"/>
      <c r="M229" s="49" t="n"/>
      <c r="N229" s="49" t="n"/>
      <c r="O229" s="49" t="n"/>
      <c r="P229" s="50" t="n"/>
      <c r="Q229" s="51" t="str">
        <f>IF(AND(ISNUMBER($F229),$F229&gt;0,ISNUMBER($G229)),$G229/$F229,"")</f>
        <v/>
      </c>
      <c r="R229" s="51" t="str">
        <f>IF(AND(ISNUMBER($F229),$F229&gt;0,ISNUMBER($H229)),$H229/$F229,"")</f>
        <v/>
      </c>
      <c r="S229" s="52" t="str">
        <f>IF(AND(ISNUMBER($J229),ISNUMBER($L229)),IF($L229&gt;0,$J229/$L229,""),"")</f>
        <v/>
      </c>
      <c r="T229" s="53" t="str">
        <f>IF(ISNUMBER($A229),YEAR($A229)&amp;"-"&amp;TEXT(MONTH($A229),"00"),"")</f>
        <v/>
      </c>
    </row>
    <row r="230">
      <c r="A230" s="47" t="n"/>
      <c r="B230" s="48" t="n"/>
      <c r="C230" s="48" t="n"/>
      <c r="D230" s="48" t="n"/>
      <c r="E230" s="48" t="n"/>
      <c r="F230" s="49" t="n"/>
      <c r="G230" s="49" t="n"/>
      <c r="H230" s="49" t="n"/>
      <c r="I230" s="49" t="n"/>
      <c r="J230" s="49" t="n"/>
      <c r="K230" s="49" t="n"/>
      <c r="L230" s="49" t="n"/>
      <c r="M230" s="49" t="n"/>
      <c r="N230" s="49" t="n"/>
      <c r="O230" s="49" t="n"/>
      <c r="P230" s="50" t="n"/>
      <c r="Q230" s="51" t="str">
        <f>IF(AND(ISNUMBER($F230),$F230&gt;0,ISNUMBER($G230)),$G230/$F230,"")</f>
        <v/>
      </c>
      <c r="R230" s="51" t="str">
        <f>IF(AND(ISNUMBER($F230),$F230&gt;0,ISNUMBER($H230)),$H230/$F230,"")</f>
        <v/>
      </c>
      <c r="S230" s="52" t="str">
        <f>IF(AND(ISNUMBER($J230),ISNUMBER($L230)),IF($L230&gt;0,$J230/$L230,""),"")</f>
        <v/>
      </c>
      <c r="T230" s="53" t="str">
        <f>IF(ISNUMBER($A230),YEAR($A230)&amp;"-"&amp;TEXT(MONTH($A230),"00"),"")</f>
        <v/>
      </c>
    </row>
    <row r="231">
      <c r="A231" s="47" t="n"/>
      <c r="B231" s="48" t="n"/>
      <c r="C231" s="48" t="n"/>
      <c r="D231" s="48" t="n"/>
      <c r="E231" s="48" t="n"/>
      <c r="F231" s="49" t="n"/>
      <c r="G231" s="49" t="n"/>
      <c r="H231" s="49" t="n"/>
      <c r="I231" s="49" t="n"/>
      <c r="J231" s="49" t="n"/>
      <c r="K231" s="49" t="n"/>
      <c r="L231" s="49" t="n"/>
      <c r="M231" s="49" t="n"/>
      <c r="N231" s="49" t="n"/>
      <c r="O231" s="49" t="n"/>
      <c r="P231" s="50" t="n"/>
      <c r="Q231" s="51" t="str">
        <f>IF(AND(ISNUMBER($F231),$F231&gt;0,ISNUMBER($G231)),$G231/$F231,"")</f>
        <v/>
      </c>
      <c r="R231" s="51" t="str">
        <f>IF(AND(ISNUMBER($F231),$F231&gt;0,ISNUMBER($H231)),$H231/$F231,"")</f>
        <v/>
      </c>
      <c r="S231" s="52" t="str">
        <f>IF(AND(ISNUMBER($J231),ISNUMBER($L231)),IF($L231&gt;0,$J231/$L231,""),"")</f>
        <v/>
      </c>
      <c r="T231" s="53" t="str">
        <f>IF(ISNUMBER($A231),YEAR($A231)&amp;"-"&amp;TEXT(MONTH($A231),"00"),"")</f>
        <v/>
      </c>
    </row>
    <row r="232">
      <c r="A232" s="47" t="n"/>
      <c r="B232" s="48" t="n"/>
      <c r="C232" s="48" t="n"/>
      <c r="D232" s="48" t="n"/>
      <c r="E232" s="48" t="n"/>
      <c r="F232" s="49" t="n"/>
      <c r="G232" s="49" t="n"/>
      <c r="H232" s="49" t="n"/>
      <c r="I232" s="49" t="n"/>
      <c r="J232" s="49" t="n"/>
      <c r="K232" s="49" t="n"/>
      <c r="L232" s="49" t="n"/>
      <c r="M232" s="49" t="n"/>
      <c r="N232" s="49" t="n"/>
      <c r="O232" s="49" t="n"/>
      <c r="P232" s="50" t="n"/>
      <c r="Q232" s="51" t="str">
        <f>IF(AND(ISNUMBER($F232),$F232&gt;0,ISNUMBER($G232)),$G232/$F232,"")</f>
        <v/>
      </c>
      <c r="R232" s="51" t="str">
        <f>IF(AND(ISNUMBER($F232),$F232&gt;0,ISNUMBER($H232)),$H232/$F232,"")</f>
        <v/>
      </c>
      <c r="S232" s="52" t="str">
        <f>IF(AND(ISNUMBER($J232),ISNUMBER($L232)),IF($L232&gt;0,$J232/$L232,""),"")</f>
        <v/>
      </c>
      <c r="T232" s="53" t="str">
        <f>IF(ISNUMBER($A232),YEAR($A232)&amp;"-"&amp;TEXT(MONTH($A232),"00"),"")</f>
        <v/>
      </c>
    </row>
    <row r="233">
      <c r="A233" s="47" t="n"/>
      <c r="B233" s="48" t="n"/>
      <c r="C233" s="48" t="n"/>
      <c r="D233" s="48" t="n"/>
      <c r="E233" s="48" t="n"/>
      <c r="F233" s="49" t="n"/>
      <c r="G233" s="49" t="n"/>
      <c r="H233" s="49" t="n"/>
      <c r="I233" s="49" t="n"/>
      <c r="J233" s="49" t="n"/>
      <c r="K233" s="49" t="n"/>
      <c r="L233" s="49" t="n"/>
      <c r="M233" s="49" t="n"/>
      <c r="N233" s="49" t="n"/>
      <c r="O233" s="49" t="n"/>
      <c r="P233" s="50" t="n"/>
      <c r="Q233" s="51" t="str">
        <f>IF(AND(ISNUMBER($F233),$F233&gt;0,ISNUMBER($G233)),$G233/$F233,"")</f>
        <v/>
      </c>
      <c r="R233" s="51" t="str">
        <f>IF(AND(ISNUMBER($F233),$F233&gt;0,ISNUMBER($H233)),$H233/$F233,"")</f>
        <v/>
      </c>
      <c r="S233" s="52" t="str">
        <f>IF(AND(ISNUMBER($J233),ISNUMBER($L233)),IF($L233&gt;0,$J233/$L233,""),"")</f>
        <v/>
      </c>
      <c r="T233" s="53" t="str">
        <f>IF(ISNUMBER($A233),YEAR($A233)&amp;"-"&amp;TEXT(MONTH($A233),"00"),"")</f>
        <v/>
      </c>
    </row>
    <row r="234">
      <c r="A234" s="47" t="n"/>
      <c r="B234" s="48" t="n"/>
      <c r="C234" s="48" t="n"/>
      <c r="D234" s="48" t="n"/>
      <c r="E234" s="48" t="n"/>
      <c r="F234" s="49" t="n"/>
      <c r="G234" s="49" t="n"/>
      <c r="H234" s="49" t="n"/>
      <c r="I234" s="49" t="n"/>
      <c r="J234" s="49" t="n"/>
      <c r="K234" s="49" t="n"/>
      <c r="L234" s="49" t="n"/>
      <c r="M234" s="49" t="n"/>
      <c r="N234" s="49" t="n"/>
      <c r="O234" s="49" t="n"/>
      <c r="P234" s="50" t="n"/>
      <c r="Q234" s="51" t="str">
        <f>IF(AND(ISNUMBER($F234),$F234&gt;0,ISNUMBER($G234)),$G234/$F234,"")</f>
        <v/>
      </c>
      <c r="R234" s="51" t="str">
        <f>IF(AND(ISNUMBER($F234),$F234&gt;0,ISNUMBER($H234)),$H234/$F234,"")</f>
        <v/>
      </c>
      <c r="S234" s="52" t="str">
        <f>IF(AND(ISNUMBER($J234),ISNUMBER($L234)),IF($L234&gt;0,$J234/$L234,""),"")</f>
        <v/>
      </c>
      <c r="T234" s="53" t="str">
        <f>IF(ISNUMBER($A234),YEAR($A234)&amp;"-"&amp;TEXT(MONTH($A234),"00"),"")</f>
        <v/>
      </c>
    </row>
    <row r="235">
      <c r="A235" s="47" t="n"/>
      <c r="B235" s="48" t="n"/>
      <c r="C235" s="48" t="n"/>
      <c r="D235" s="48" t="n"/>
      <c r="E235" s="48" t="n"/>
      <c r="F235" s="49" t="n"/>
      <c r="G235" s="49" t="n"/>
      <c r="H235" s="49" t="n"/>
      <c r="I235" s="49" t="n"/>
      <c r="J235" s="49" t="n"/>
      <c r="K235" s="49" t="n"/>
      <c r="L235" s="49" t="n"/>
      <c r="M235" s="49" t="n"/>
      <c r="N235" s="49" t="n"/>
      <c r="O235" s="49" t="n"/>
      <c r="P235" s="50" t="n"/>
      <c r="Q235" s="51" t="str">
        <f>IF(AND(ISNUMBER($F235),$F235&gt;0,ISNUMBER($G235)),$G235/$F235,"")</f>
        <v/>
      </c>
      <c r="R235" s="51" t="str">
        <f>IF(AND(ISNUMBER($F235),$F235&gt;0,ISNUMBER($H235)),$H235/$F235,"")</f>
        <v/>
      </c>
      <c r="S235" s="52" t="str">
        <f>IF(AND(ISNUMBER($J235),ISNUMBER($L235)),IF($L235&gt;0,$J235/$L235,""),"")</f>
        <v/>
      </c>
      <c r="T235" s="53" t="str">
        <f>IF(ISNUMBER($A235),YEAR($A235)&amp;"-"&amp;TEXT(MONTH($A235),"00"),"")</f>
        <v/>
      </c>
    </row>
    <row r="236">
      <c r="A236" s="47" t="n"/>
      <c r="B236" s="48" t="n"/>
      <c r="C236" s="48" t="n"/>
      <c r="D236" s="48" t="n"/>
      <c r="E236" s="48" t="n"/>
      <c r="F236" s="49" t="n"/>
      <c r="G236" s="49" t="n"/>
      <c r="H236" s="49" t="n"/>
      <c r="I236" s="49" t="n"/>
      <c r="J236" s="49" t="n"/>
      <c r="K236" s="49" t="n"/>
      <c r="L236" s="49" t="n"/>
      <c r="M236" s="49" t="n"/>
      <c r="N236" s="49" t="n"/>
      <c r="O236" s="49" t="n"/>
      <c r="P236" s="50" t="n"/>
      <c r="Q236" s="51" t="str">
        <f>IF(AND(ISNUMBER($F236),$F236&gt;0,ISNUMBER($G236)),$G236/$F236,"")</f>
        <v/>
      </c>
      <c r="R236" s="51" t="str">
        <f>IF(AND(ISNUMBER($F236),$F236&gt;0,ISNUMBER($H236)),$H236/$F236,"")</f>
        <v/>
      </c>
      <c r="S236" s="52" t="str">
        <f>IF(AND(ISNUMBER($J236),ISNUMBER($L236)),IF($L236&gt;0,$J236/$L236,""),"")</f>
        <v/>
      </c>
      <c r="T236" s="53" t="str">
        <f>IF(ISNUMBER($A236),YEAR($A236)&amp;"-"&amp;TEXT(MONTH($A236),"00"),"")</f>
        <v/>
      </c>
    </row>
    <row r="237">
      <c r="A237" s="47" t="n"/>
      <c r="B237" s="48" t="n"/>
      <c r="C237" s="48" t="n"/>
      <c r="D237" s="48" t="n"/>
      <c r="E237" s="48" t="n"/>
      <c r="F237" s="49" t="n"/>
      <c r="G237" s="49" t="n"/>
      <c r="H237" s="49" t="n"/>
      <c r="I237" s="49" t="n"/>
      <c r="J237" s="49" t="n"/>
      <c r="K237" s="49" t="n"/>
      <c r="L237" s="49" t="n"/>
      <c r="M237" s="49" t="n"/>
      <c r="N237" s="49" t="n"/>
      <c r="O237" s="49" t="n"/>
      <c r="P237" s="50" t="n"/>
      <c r="Q237" s="51" t="str">
        <f>IF(AND(ISNUMBER($F237),$F237&gt;0,ISNUMBER($G237)),$G237/$F237,"")</f>
        <v/>
      </c>
      <c r="R237" s="51" t="str">
        <f>IF(AND(ISNUMBER($F237),$F237&gt;0,ISNUMBER($H237)),$H237/$F237,"")</f>
        <v/>
      </c>
      <c r="S237" s="52" t="str">
        <f>IF(AND(ISNUMBER($J237),ISNUMBER($L237)),IF($L237&gt;0,$J237/$L237,""),"")</f>
        <v/>
      </c>
      <c r="T237" s="53" t="str">
        <f>IF(ISNUMBER($A237),YEAR($A237)&amp;"-"&amp;TEXT(MONTH($A237),"00"),"")</f>
        <v/>
      </c>
    </row>
    <row r="238">
      <c r="A238" s="47" t="n"/>
      <c r="B238" s="48" t="n"/>
      <c r="C238" s="48" t="n"/>
      <c r="D238" s="48" t="n"/>
      <c r="E238" s="48" t="n"/>
      <c r="F238" s="49" t="n"/>
      <c r="G238" s="49" t="n"/>
      <c r="H238" s="49" t="n"/>
      <c r="I238" s="49" t="n"/>
      <c r="J238" s="49" t="n"/>
      <c r="K238" s="49" t="n"/>
      <c r="L238" s="49" t="n"/>
      <c r="M238" s="49" t="n"/>
      <c r="N238" s="49" t="n"/>
      <c r="O238" s="49" t="n"/>
      <c r="P238" s="50" t="n"/>
      <c r="Q238" s="51" t="str">
        <f>IF(AND(ISNUMBER($F238),$F238&gt;0,ISNUMBER($G238)),$G238/$F238,"")</f>
        <v/>
      </c>
      <c r="R238" s="51" t="str">
        <f>IF(AND(ISNUMBER($F238),$F238&gt;0,ISNUMBER($H238)),$H238/$F238,"")</f>
        <v/>
      </c>
      <c r="S238" s="52" t="str">
        <f>IF(AND(ISNUMBER($J238),ISNUMBER($L238)),IF($L238&gt;0,$J238/$L238,""),"")</f>
        <v/>
      </c>
      <c r="T238" s="53" t="str">
        <f>IF(ISNUMBER($A238),YEAR($A238)&amp;"-"&amp;TEXT(MONTH($A238),"00"),"")</f>
        <v/>
      </c>
    </row>
    <row r="239">
      <c r="A239" s="47" t="n"/>
      <c r="B239" s="48" t="n"/>
      <c r="C239" s="48" t="n"/>
      <c r="D239" s="48" t="n"/>
      <c r="E239" s="48" t="n"/>
      <c r="F239" s="49" t="n"/>
      <c r="G239" s="49" t="n"/>
      <c r="H239" s="49" t="n"/>
      <c r="I239" s="49" t="n"/>
      <c r="J239" s="49" t="n"/>
      <c r="K239" s="49" t="n"/>
      <c r="L239" s="49" t="n"/>
      <c r="M239" s="49" t="n"/>
      <c r="N239" s="49" t="n"/>
      <c r="O239" s="49" t="n"/>
      <c r="P239" s="50" t="n"/>
      <c r="Q239" s="51" t="str">
        <f>IF(AND(ISNUMBER($F239),$F239&gt;0,ISNUMBER($G239)),$G239/$F239,"")</f>
        <v/>
      </c>
      <c r="R239" s="51" t="str">
        <f>IF(AND(ISNUMBER($F239),$F239&gt;0,ISNUMBER($H239)),$H239/$F239,"")</f>
        <v/>
      </c>
      <c r="S239" s="52" t="str">
        <f>IF(AND(ISNUMBER($J239),ISNUMBER($L239)),IF($L239&gt;0,$J239/$L239,""),"")</f>
        <v/>
      </c>
      <c r="T239" s="53" t="str">
        <f>IF(ISNUMBER($A239),YEAR($A239)&amp;"-"&amp;TEXT(MONTH($A239),"00"),"")</f>
        <v/>
      </c>
    </row>
    <row r="240">
      <c r="A240" s="47" t="n"/>
      <c r="B240" s="48" t="n"/>
      <c r="C240" s="48" t="n"/>
      <c r="D240" s="48" t="n"/>
      <c r="E240" s="48" t="n"/>
      <c r="F240" s="49" t="n"/>
      <c r="G240" s="49" t="n"/>
      <c r="H240" s="49" t="n"/>
      <c r="I240" s="49" t="n"/>
      <c r="J240" s="49" t="n"/>
      <c r="K240" s="49" t="n"/>
      <c r="L240" s="49" t="n"/>
      <c r="M240" s="49" t="n"/>
      <c r="N240" s="49" t="n"/>
      <c r="O240" s="49" t="n"/>
      <c r="P240" s="50" t="n"/>
      <c r="Q240" s="51" t="str">
        <f>IF(AND(ISNUMBER($F240),$F240&gt;0,ISNUMBER($G240)),$G240/$F240,"")</f>
        <v/>
      </c>
      <c r="R240" s="51" t="str">
        <f>IF(AND(ISNUMBER($F240),$F240&gt;0,ISNUMBER($H240)),$H240/$F240,"")</f>
        <v/>
      </c>
      <c r="S240" s="52" t="str">
        <f>IF(AND(ISNUMBER($J240),ISNUMBER($L240)),IF($L240&gt;0,$J240/$L240,""),"")</f>
        <v/>
      </c>
      <c r="T240" s="53" t="str">
        <f>IF(ISNUMBER($A240),YEAR($A240)&amp;"-"&amp;TEXT(MONTH($A240),"00"),"")</f>
        <v/>
      </c>
    </row>
    <row r="241">
      <c r="A241" s="47" t="n"/>
      <c r="B241" s="48" t="n"/>
      <c r="C241" s="48" t="n"/>
      <c r="D241" s="48" t="n"/>
      <c r="E241" s="48" t="n"/>
      <c r="F241" s="49" t="n"/>
      <c r="G241" s="49" t="n"/>
      <c r="H241" s="49" t="n"/>
      <c r="I241" s="49" t="n"/>
      <c r="J241" s="49" t="n"/>
      <c r="K241" s="49" t="n"/>
      <c r="L241" s="49" t="n"/>
      <c r="M241" s="49" t="n"/>
      <c r="N241" s="49" t="n"/>
      <c r="O241" s="49" t="n"/>
      <c r="P241" s="50" t="n"/>
      <c r="Q241" s="51" t="str">
        <f>IF(AND(ISNUMBER($F241),$F241&gt;0,ISNUMBER($G241)),$G241/$F241,"")</f>
        <v/>
      </c>
      <c r="R241" s="51" t="str">
        <f>IF(AND(ISNUMBER($F241),$F241&gt;0,ISNUMBER($H241)),$H241/$F241,"")</f>
        <v/>
      </c>
      <c r="S241" s="52" t="str">
        <f>IF(AND(ISNUMBER($J241),ISNUMBER($L241)),IF($L241&gt;0,$J241/$L241,""),"")</f>
        <v/>
      </c>
      <c r="T241" s="53" t="str">
        <f>IF(ISNUMBER($A241),YEAR($A241)&amp;"-"&amp;TEXT(MONTH($A241),"00"),"")</f>
        <v/>
      </c>
    </row>
    <row r="242">
      <c r="A242" s="47" t="n"/>
      <c r="B242" s="48" t="n"/>
      <c r="C242" s="48" t="n"/>
      <c r="D242" s="48" t="n"/>
      <c r="E242" s="48" t="n"/>
      <c r="F242" s="49" t="n"/>
      <c r="G242" s="49" t="n"/>
      <c r="H242" s="49" t="n"/>
      <c r="I242" s="49" t="n"/>
      <c r="J242" s="49" t="n"/>
      <c r="K242" s="49" t="n"/>
      <c r="L242" s="49" t="n"/>
      <c r="M242" s="49" t="n"/>
      <c r="N242" s="49" t="n"/>
      <c r="O242" s="49" t="n"/>
      <c r="P242" s="50" t="n"/>
      <c r="Q242" s="51" t="str">
        <f>IF(AND(ISNUMBER($F242),$F242&gt;0,ISNUMBER($G242)),$G242/$F242,"")</f>
        <v/>
      </c>
      <c r="R242" s="51" t="str">
        <f>IF(AND(ISNUMBER($F242),$F242&gt;0,ISNUMBER($H242)),$H242/$F242,"")</f>
        <v/>
      </c>
      <c r="S242" s="52" t="str">
        <f>IF(AND(ISNUMBER($J242),ISNUMBER($L242)),IF($L242&gt;0,$J242/$L242,""),"")</f>
        <v/>
      </c>
      <c r="T242" s="53" t="str">
        <f>IF(ISNUMBER($A242),YEAR($A242)&amp;"-"&amp;TEXT(MONTH($A242),"00"),"")</f>
        <v/>
      </c>
    </row>
    <row r="243">
      <c r="A243" s="47" t="n"/>
      <c r="B243" s="48" t="n"/>
      <c r="C243" s="48" t="n"/>
      <c r="D243" s="48" t="n"/>
      <c r="E243" s="48" t="n"/>
      <c r="F243" s="49" t="n"/>
      <c r="G243" s="49" t="n"/>
      <c r="H243" s="49" t="n"/>
      <c r="I243" s="49" t="n"/>
      <c r="J243" s="49" t="n"/>
      <c r="K243" s="49" t="n"/>
      <c r="L243" s="49" t="n"/>
      <c r="M243" s="49" t="n"/>
      <c r="N243" s="49" t="n"/>
      <c r="O243" s="49" t="n"/>
      <c r="P243" s="50" t="n"/>
      <c r="Q243" s="51" t="str">
        <f>IF(AND(ISNUMBER($F243),$F243&gt;0,ISNUMBER($G243)),$G243/$F243,"")</f>
        <v/>
      </c>
      <c r="R243" s="51" t="str">
        <f>IF(AND(ISNUMBER($F243),$F243&gt;0,ISNUMBER($H243)),$H243/$F243,"")</f>
        <v/>
      </c>
      <c r="S243" s="52" t="str">
        <f>IF(AND(ISNUMBER($J243),ISNUMBER($L243)),IF($L243&gt;0,$J243/$L243,""),"")</f>
        <v/>
      </c>
      <c r="T243" s="53" t="str">
        <f>IF(ISNUMBER($A243),YEAR($A243)&amp;"-"&amp;TEXT(MONTH($A243),"00"),"")</f>
        <v/>
      </c>
    </row>
    <row r="244">
      <c r="A244" s="47" t="n"/>
      <c r="B244" s="48" t="n"/>
      <c r="C244" s="48" t="n"/>
      <c r="D244" s="48" t="n"/>
      <c r="E244" s="48" t="n"/>
      <c r="F244" s="49" t="n"/>
      <c r="G244" s="49" t="n"/>
      <c r="H244" s="49" t="n"/>
      <c r="I244" s="49" t="n"/>
      <c r="J244" s="49" t="n"/>
      <c r="K244" s="49" t="n"/>
      <c r="L244" s="49" t="n"/>
      <c r="M244" s="49" t="n"/>
      <c r="N244" s="49" t="n"/>
      <c r="O244" s="49" t="n"/>
      <c r="P244" s="50" t="n"/>
      <c r="Q244" s="51" t="str">
        <f>IF(AND(ISNUMBER($F244),$F244&gt;0,ISNUMBER($G244)),$G244/$F244,"")</f>
        <v/>
      </c>
      <c r="R244" s="51" t="str">
        <f>IF(AND(ISNUMBER($F244),$F244&gt;0,ISNUMBER($H244)),$H244/$F244,"")</f>
        <v/>
      </c>
      <c r="S244" s="52" t="str">
        <f>IF(AND(ISNUMBER($J244),ISNUMBER($L244)),IF($L244&gt;0,$J244/$L244,""),"")</f>
        <v/>
      </c>
      <c r="T244" s="53" t="str">
        <f>IF(ISNUMBER($A244),YEAR($A244)&amp;"-"&amp;TEXT(MONTH($A244),"00"),"")</f>
        <v/>
      </c>
    </row>
    <row r="245">
      <c r="A245" s="47" t="n"/>
      <c r="B245" s="48" t="n"/>
      <c r="C245" s="48" t="n"/>
      <c r="D245" s="48" t="n"/>
      <c r="E245" s="48" t="n"/>
      <c r="F245" s="49" t="n"/>
      <c r="G245" s="49" t="n"/>
      <c r="H245" s="49" t="n"/>
      <c r="I245" s="49" t="n"/>
      <c r="J245" s="49" t="n"/>
      <c r="K245" s="49" t="n"/>
      <c r="L245" s="49" t="n"/>
      <c r="M245" s="49" t="n"/>
      <c r="N245" s="49" t="n"/>
      <c r="O245" s="49" t="n"/>
      <c r="P245" s="50" t="n"/>
      <c r="Q245" s="51" t="str">
        <f>IF(AND(ISNUMBER($F245),$F245&gt;0,ISNUMBER($G245)),$G245/$F245,"")</f>
        <v/>
      </c>
      <c r="R245" s="51" t="str">
        <f>IF(AND(ISNUMBER($F245),$F245&gt;0,ISNUMBER($H245)),$H245/$F245,"")</f>
        <v/>
      </c>
      <c r="S245" s="52" t="str">
        <f>IF(AND(ISNUMBER($J245),ISNUMBER($L245)),IF($L245&gt;0,$J245/$L245,""),"")</f>
        <v/>
      </c>
      <c r="T245" s="53" t="str">
        <f>IF(ISNUMBER($A245),YEAR($A245)&amp;"-"&amp;TEXT(MONTH($A245),"00"),"")</f>
        <v/>
      </c>
    </row>
    <row r="246">
      <c r="A246" s="47" t="n"/>
      <c r="B246" s="48" t="n"/>
      <c r="C246" s="48" t="n"/>
      <c r="D246" s="48" t="n"/>
      <c r="E246" s="48" t="n"/>
      <c r="F246" s="49" t="n"/>
      <c r="G246" s="49" t="n"/>
      <c r="H246" s="49" t="n"/>
      <c r="I246" s="49" t="n"/>
      <c r="J246" s="49" t="n"/>
      <c r="K246" s="49" t="n"/>
      <c r="L246" s="49" t="n"/>
      <c r="M246" s="49" t="n"/>
      <c r="N246" s="49" t="n"/>
      <c r="O246" s="49" t="n"/>
      <c r="P246" s="50" t="n"/>
      <c r="Q246" s="51" t="str">
        <f>IF(AND(ISNUMBER($F246),$F246&gt;0,ISNUMBER($G246)),$G246/$F246,"")</f>
        <v/>
      </c>
      <c r="R246" s="51" t="str">
        <f>IF(AND(ISNUMBER($F246),$F246&gt;0,ISNUMBER($H246)),$H246/$F246,"")</f>
        <v/>
      </c>
      <c r="S246" s="52" t="str">
        <f>IF(AND(ISNUMBER($J246),ISNUMBER($L246)),IF($L246&gt;0,$J246/$L246,""),"")</f>
        <v/>
      </c>
      <c r="T246" s="53" t="str">
        <f>IF(ISNUMBER($A246),YEAR($A246)&amp;"-"&amp;TEXT(MONTH($A246),"00"),"")</f>
        <v/>
      </c>
    </row>
    <row r="247">
      <c r="A247" s="47" t="n"/>
      <c r="B247" s="48" t="n"/>
      <c r="C247" s="48" t="n"/>
      <c r="D247" s="48" t="n"/>
      <c r="E247" s="48" t="n"/>
      <c r="F247" s="49" t="n"/>
      <c r="G247" s="49" t="n"/>
      <c r="H247" s="49" t="n"/>
      <c r="I247" s="49" t="n"/>
      <c r="J247" s="49" t="n"/>
      <c r="K247" s="49" t="n"/>
      <c r="L247" s="49" t="n"/>
      <c r="M247" s="49" t="n"/>
      <c r="N247" s="49" t="n"/>
      <c r="O247" s="49" t="n"/>
      <c r="P247" s="50" t="n"/>
      <c r="Q247" s="51" t="str">
        <f>IF(AND(ISNUMBER($F247),$F247&gt;0,ISNUMBER($G247)),$G247/$F247,"")</f>
        <v/>
      </c>
      <c r="R247" s="51" t="str">
        <f>IF(AND(ISNUMBER($F247),$F247&gt;0,ISNUMBER($H247)),$H247/$F247,"")</f>
        <v/>
      </c>
      <c r="S247" s="52" t="str">
        <f>IF(AND(ISNUMBER($J247),ISNUMBER($L247)),IF($L247&gt;0,$J247/$L247,""),"")</f>
        <v/>
      </c>
      <c r="T247" s="53" t="str">
        <f>IF(ISNUMBER($A247),YEAR($A247)&amp;"-"&amp;TEXT(MONTH($A247),"00"),"")</f>
        <v/>
      </c>
    </row>
    <row r="248">
      <c r="A248" s="47" t="n"/>
      <c r="B248" s="48" t="n"/>
      <c r="C248" s="48" t="n"/>
      <c r="D248" s="48" t="n"/>
      <c r="E248" s="48" t="n"/>
      <c r="F248" s="49" t="n"/>
      <c r="G248" s="49" t="n"/>
      <c r="H248" s="49" t="n"/>
      <c r="I248" s="49" t="n"/>
      <c r="J248" s="49" t="n"/>
      <c r="K248" s="49" t="n"/>
      <c r="L248" s="49" t="n"/>
      <c r="M248" s="49" t="n"/>
      <c r="N248" s="49" t="n"/>
      <c r="O248" s="49" t="n"/>
      <c r="P248" s="50" t="n"/>
      <c r="Q248" s="51" t="str">
        <f>IF(AND(ISNUMBER($F248),$F248&gt;0,ISNUMBER($G248)),$G248/$F248,"")</f>
        <v/>
      </c>
      <c r="R248" s="51" t="str">
        <f>IF(AND(ISNUMBER($F248),$F248&gt;0,ISNUMBER($H248)),$H248/$F248,"")</f>
        <v/>
      </c>
      <c r="S248" s="52" t="str">
        <f>IF(AND(ISNUMBER($J248),ISNUMBER($L248)),IF($L248&gt;0,$J248/$L248,""),"")</f>
        <v/>
      </c>
      <c r="T248" s="53" t="str">
        <f>IF(ISNUMBER($A248),YEAR($A248)&amp;"-"&amp;TEXT(MONTH($A248),"00"),"")</f>
        <v/>
      </c>
    </row>
    <row r="249">
      <c r="A249" s="47" t="n"/>
      <c r="B249" s="48" t="n"/>
      <c r="C249" s="48" t="n"/>
      <c r="D249" s="48" t="n"/>
      <c r="E249" s="48" t="n"/>
      <c r="F249" s="49" t="n"/>
      <c r="G249" s="49" t="n"/>
      <c r="H249" s="49" t="n"/>
      <c r="I249" s="49" t="n"/>
      <c r="J249" s="49" t="n"/>
      <c r="K249" s="49" t="n"/>
      <c r="L249" s="49" t="n"/>
      <c r="M249" s="49" t="n"/>
      <c r="N249" s="49" t="n"/>
      <c r="O249" s="49" t="n"/>
      <c r="P249" s="50" t="n"/>
      <c r="Q249" s="51" t="str">
        <f>IF(AND(ISNUMBER($F249),$F249&gt;0,ISNUMBER($G249)),$G249/$F249,"")</f>
        <v/>
      </c>
      <c r="R249" s="51" t="str">
        <f>IF(AND(ISNUMBER($F249),$F249&gt;0,ISNUMBER($H249)),$H249/$F249,"")</f>
        <v/>
      </c>
      <c r="S249" s="52" t="str">
        <f>IF(AND(ISNUMBER($J249),ISNUMBER($L249)),IF($L249&gt;0,$J249/$L249,""),"")</f>
        <v/>
      </c>
      <c r="T249" s="53" t="str">
        <f>IF(ISNUMBER($A249),YEAR($A249)&amp;"-"&amp;TEXT(MONTH($A249),"00"),"")</f>
        <v/>
      </c>
    </row>
    <row r="250">
      <c r="A250" s="47" t="n"/>
      <c r="B250" s="48" t="n"/>
      <c r="C250" s="48" t="n"/>
      <c r="D250" s="48" t="n"/>
      <c r="E250" s="48" t="n"/>
      <c r="F250" s="49" t="n"/>
      <c r="G250" s="49" t="n"/>
      <c r="H250" s="49" t="n"/>
      <c r="I250" s="49" t="n"/>
      <c r="J250" s="49" t="n"/>
      <c r="K250" s="49" t="n"/>
      <c r="L250" s="49" t="n"/>
      <c r="M250" s="49" t="n"/>
      <c r="N250" s="49" t="n"/>
      <c r="O250" s="49" t="n"/>
      <c r="P250" s="50" t="n"/>
      <c r="Q250" s="51" t="str">
        <f>IF(AND(ISNUMBER($F250),$F250&gt;0,ISNUMBER($G250)),$G250/$F250,"")</f>
        <v/>
      </c>
      <c r="R250" s="51" t="str">
        <f>IF(AND(ISNUMBER($F250),$F250&gt;0,ISNUMBER($H250)),$H250/$F250,"")</f>
        <v/>
      </c>
      <c r="S250" s="52" t="str">
        <f>IF(AND(ISNUMBER($J250),ISNUMBER($L250)),IF($L250&gt;0,$J250/$L250,""),"")</f>
        <v/>
      </c>
      <c r="T250" s="53" t="str">
        <f>IF(ISNUMBER($A250),YEAR($A250)&amp;"-"&amp;TEXT(MONTH($A250),"00"),"")</f>
        <v/>
      </c>
    </row>
    <row r="251">
      <c r="A251" s="47" t="n"/>
      <c r="B251" s="48" t="n"/>
      <c r="C251" s="48" t="n"/>
      <c r="D251" s="48" t="n"/>
      <c r="E251" s="48" t="n"/>
      <c r="F251" s="49" t="n"/>
      <c r="G251" s="49" t="n"/>
      <c r="H251" s="49" t="n"/>
      <c r="I251" s="49" t="n"/>
      <c r="J251" s="49" t="n"/>
      <c r="K251" s="49" t="n"/>
      <c r="L251" s="49" t="n"/>
      <c r="M251" s="49" t="n"/>
      <c r="N251" s="49" t="n"/>
      <c r="O251" s="49" t="n"/>
      <c r="P251" s="50" t="n"/>
      <c r="Q251" s="51" t="str">
        <f>IF(AND(ISNUMBER($F251),$F251&gt;0,ISNUMBER($G251)),$G251/$F251,"")</f>
        <v/>
      </c>
      <c r="R251" s="51" t="str">
        <f>IF(AND(ISNUMBER($F251),$F251&gt;0,ISNUMBER($H251)),$H251/$F251,"")</f>
        <v/>
      </c>
      <c r="S251" s="52" t="str">
        <f>IF(AND(ISNUMBER($J251),ISNUMBER($L251)),IF($L251&gt;0,$J251/$L251,""),"")</f>
        <v/>
      </c>
      <c r="T251" s="53" t="str">
        <f>IF(ISNUMBER($A251),YEAR($A251)&amp;"-"&amp;TEXT(MONTH($A251),"00"),"")</f>
        <v/>
      </c>
    </row>
    <row r="252">
      <c r="A252" s="47" t="n"/>
      <c r="B252" s="48" t="n"/>
      <c r="C252" s="48" t="n"/>
      <c r="D252" s="48" t="n"/>
      <c r="E252" s="48" t="n"/>
      <c r="F252" s="49" t="n"/>
      <c r="G252" s="49" t="n"/>
      <c r="H252" s="49" t="n"/>
      <c r="I252" s="49" t="n"/>
      <c r="J252" s="49" t="n"/>
      <c r="K252" s="49" t="n"/>
      <c r="L252" s="49" t="n"/>
      <c r="M252" s="49" t="n"/>
      <c r="N252" s="49" t="n"/>
      <c r="O252" s="49" t="n"/>
      <c r="P252" s="50" t="n"/>
      <c r="Q252" s="51" t="str">
        <f>IF(AND(ISNUMBER($F252),$F252&gt;0,ISNUMBER($G252)),$G252/$F252,"")</f>
        <v/>
      </c>
      <c r="R252" s="51" t="str">
        <f>IF(AND(ISNUMBER($F252),$F252&gt;0,ISNUMBER($H252)),$H252/$F252,"")</f>
        <v/>
      </c>
      <c r="S252" s="52" t="str">
        <f>IF(AND(ISNUMBER($J252),ISNUMBER($L252)),IF($L252&gt;0,$J252/$L252,""),"")</f>
        <v/>
      </c>
      <c r="T252" s="53" t="str">
        <f>IF(ISNUMBER($A252),YEAR($A252)&amp;"-"&amp;TEXT(MONTH($A252),"00"),"")</f>
        <v/>
      </c>
    </row>
    <row r="253">
      <c r="A253" s="47" t="n"/>
      <c r="B253" s="48" t="n"/>
      <c r="C253" s="48" t="n"/>
      <c r="D253" s="48" t="n"/>
      <c r="E253" s="48" t="n"/>
      <c r="F253" s="49" t="n"/>
      <c r="G253" s="49" t="n"/>
      <c r="H253" s="49" t="n"/>
      <c r="I253" s="49" t="n"/>
      <c r="J253" s="49" t="n"/>
      <c r="K253" s="49" t="n"/>
      <c r="L253" s="49" t="n"/>
      <c r="M253" s="49" t="n"/>
      <c r="N253" s="49" t="n"/>
      <c r="O253" s="49" t="n"/>
      <c r="P253" s="50" t="n"/>
      <c r="Q253" s="51" t="str">
        <f>IF(AND(ISNUMBER($F253),$F253&gt;0,ISNUMBER($G253)),$G253/$F253,"")</f>
        <v/>
      </c>
      <c r="R253" s="51" t="str">
        <f>IF(AND(ISNUMBER($F253),$F253&gt;0,ISNUMBER($H253)),$H253/$F253,"")</f>
        <v/>
      </c>
      <c r="S253" s="52" t="str">
        <f>IF(AND(ISNUMBER($J253),ISNUMBER($L253)),IF($L253&gt;0,$J253/$L253,""),"")</f>
        <v/>
      </c>
      <c r="T253" s="53" t="str">
        <f>IF(ISNUMBER($A253),YEAR($A253)&amp;"-"&amp;TEXT(MONTH($A253),"00"),"")</f>
        <v/>
      </c>
    </row>
    <row r="254">
      <c r="A254" s="47" t="n"/>
      <c r="B254" s="48" t="n"/>
      <c r="C254" s="48" t="n"/>
      <c r="D254" s="48" t="n"/>
      <c r="E254" s="48" t="n"/>
      <c r="F254" s="49" t="n"/>
      <c r="G254" s="49" t="n"/>
      <c r="H254" s="49" t="n"/>
      <c r="I254" s="49" t="n"/>
      <c r="J254" s="49" t="n"/>
      <c r="K254" s="49" t="n"/>
      <c r="L254" s="49" t="n"/>
      <c r="M254" s="49" t="n"/>
      <c r="N254" s="49" t="n"/>
      <c r="O254" s="49" t="n"/>
      <c r="P254" s="50" t="n"/>
      <c r="Q254" s="51" t="str">
        <f>IF(AND(ISNUMBER($F254),$F254&gt;0,ISNUMBER($G254)),$G254/$F254,"")</f>
        <v/>
      </c>
      <c r="R254" s="51" t="str">
        <f>IF(AND(ISNUMBER($F254),$F254&gt;0,ISNUMBER($H254)),$H254/$F254,"")</f>
        <v/>
      </c>
      <c r="S254" s="52" t="str">
        <f>IF(AND(ISNUMBER($J254),ISNUMBER($L254)),IF($L254&gt;0,$J254/$L254,""),"")</f>
        <v/>
      </c>
      <c r="T254" s="53" t="str">
        <f>IF(ISNUMBER($A254),YEAR($A254)&amp;"-"&amp;TEXT(MONTH($A254),"00"),"")</f>
        <v/>
      </c>
    </row>
    <row r="255">
      <c r="A255" s="47" t="n"/>
      <c r="B255" s="48" t="n"/>
      <c r="C255" s="48" t="n"/>
      <c r="D255" s="48" t="n"/>
      <c r="E255" s="48" t="n"/>
      <c r="F255" s="49" t="n"/>
      <c r="G255" s="49" t="n"/>
      <c r="H255" s="49" t="n"/>
      <c r="I255" s="49" t="n"/>
      <c r="J255" s="49" t="n"/>
      <c r="K255" s="49" t="n"/>
      <c r="L255" s="49" t="n"/>
      <c r="M255" s="49" t="n"/>
      <c r="N255" s="49" t="n"/>
      <c r="O255" s="49" t="n"/>
      <c r="P255" s="50" t="n"/>
      <c r="Q255" s="51" t="str">
        <f>IF(AND(ISNUMBER($F255),$F255&gt;0,ISNUMBER($G255)),$G255/$F255,"")</f>
        <v/>
      </c>
      <c r="R255" s="51" t="str">
        <f>IF(AND(ISNUMBER($F255),$F255&gt;0,ISNUMBER($H255)),$H255/$F255,"")</f>
        <v/>
      </c>
      <c r="S255" s="52" t="str">
        <f>IF(AND(ISNUMBER($J255),ISNUMBER($L255)),IF($L255&gt;0,$J255/$L255,""),"")</f>
        <v/>
      </c>
      <c r="T255" s="53" t="str">
        <f>IF(ISNUMBER($A255),YEAR($A255)&amp;"-"&amp;TEXT(MONTH($A255),"00"),"")</f>
        <v/>
      </c>
    </row>
    <row r="256">
      <c r="A256" s="47" t="n"/>
      <c r="B256" s="48" t="n"/>
      <c r="C256" s="48" t="n"/>
      <c r="D256" s="48" t="n"/>
      <c r="E256" s="48" t="n"/>
      <c r="F256" s="49" t="n"/>
      <c r="G256" s="49" t="n"/>
      <c r="H256" s="49" t="n"/>
      <c r="I256" s="49" t="n"/>
      <c r="J256" s="49" t="n"/>
      <c r="K256" s="49" t="n"/>
      <c r="L256" s="49" t="n"/>
      <c r="M256" s="49" t="n"/>
      <c r="N256" s="49" t="n"/>
      <c r="O256" s="49" t="n"/>
      <c r="P256" s="50" t="n"/>
      <c r="Q256" s="51" t="str">
        <f>IF(AND(ISNUMBER($F256),$F256&gt;0,ISNUMBER($G256)),$G256/$F256,"")</f>
        <v/>
      </c>
      <c r="R256" s="51" t="str">
        <f>IF(AND(ISNUMBER($F256),$F256&gt;0,ISNUMBER($H256)),$H256/$F256,"")</f>
        <v/>
      </c>
      <c r="S256" s="52" t="str">
        <f>IF(AND(ISNUMBER($J256),ISNUMBER($L256)),IF($L256&gt;0,$J256/$L256,""),"")</f>
        <v/>
      </c>
      <c r="T256" s="53" t="str">
        <f>IF(ISNUMBER($A256),YEAR($A256)&amp;"-"&amp;TEXT(MONTH($A256),"00"),"")</f>
        <v/>
      </c>
    </row>
    <row r="257">
      <c r="A257" s="47" t="n"/>
      <c r="B257" s="48" t="n"/>
      <c r="C257" s="48" t="n"/>
      <c r="D257" s="48" t="n"/>
      <c r="E257" s="48" t="n"/>
      <c r="F257" s="49" t="n"/>
      <c r="G257" s="49" t="n"/>
      <c r="H257" s="49" t="n"/>
      <c r="I257" s="49" t="n"/>
      <c r="J257" s="49" t="n"/>
      <c r="K257" s="49" t="n"/>
      <c r="L257" s="49" t="n"/>
      <c r="M257" s="49" t="n"/>
      <c r="N257" s="49" t="n"/>
      <c r="O257" s="49" t="n"/>
      <c r="P257" s="50" t="n"/>
      <c r="Q257" s="51" t="str">
        <f>IF(AND(ISNUMBER($F257),$F257&gt;0,ISNUMBER($G257)),$G257/$F257,"")</f>
        <v/>
      </c>
      <c r="R257" s="51" t="str">
        <f>IF(AND(ISNUMBER($F257),$F257&gt;0,ISNUMBER($H257)),$H257/$F257,"")</f>
        <v/>
      </c>
      <c r="S257" s="52" t="str">
        <f>IF(AND(ISNUMBER($J257),ISNUMBER($L257)),IF($L257&gt;0,$J257/$L257,""),"")</f>
        <v/>
      </c>
      <c r="T257" s="53" t="str">
        <f>IF(ISNUMBER($A257),YEAR($A257)&amp;"-"&amp;TEXT(MONTH($A257),"00"),"")</f>
        <v/>
      </c>
    </row>
    <row r="258">
      <c r="A258" s="47" t="n"/>
      <c r="B258" s="48" t="n"/>
      <c r="C258" s="48" t="n"/>
      <c r="D258" s="48" t="n"/>
      <c r="E258" s="48" t="n"/>
      <c r="F258" s="49" t="n"/>
      <c r="G258" s="49" t="n"/>
      <c r="H258" s="49" t="n"/>
      <c r="I258" s="49" t="n"/>
      <c r="J258" s="49" t="n"/>
      <c r="K258" s="49" t="n"/>
      <c r="L258" s="49" t="n"/>
      <c r="M258" s="49" t="n"/>
      <c r="N258" s="49" t="n"/>
      <c r="O258" s="49" t="n"/>
      <c r="P258" s="50" t="n"/>
      <c r="Q258" s="51" t="str">
        <f>IF(AND(ISNUMBER($F258),$F258&gt;0,ISNUMBER($G258)),$G258/$F258,"")</f>
        <v/>
      </c>
      <c r="R258" s="51" t="str">
        <f>IF(AND(ISNUMBER($F258),$F258&gt;0,ISNUMBER($H258)),$H258/$F258,"")</f>
        <v/>
      </c>
      <c r="S258" s="52" t="str">
        <f>IF(AND(ISNUMBER($J258),ISNUMBER($L258)),IF($L258&gt;0,$J258/$L258,""),"")</f>
        <v/>
      </c>
      <c r="T258" s="53" t="str">
        <f>IF(ISNUMBER($A258),YEAR($A258)&amp;"-"&amp;TEXT(MONTH($A258),"00"),"")</f>
        <v/>
      </c>
    </row>
    <row r="259">
      <c r="A259" s="47" t="n"/>
      <c r="B259" s="48" t="n"/>
      <c r="C259" s="48" t="n"/>
      <c r="D259" s="48" t="n"/>
      <c r="E259" s="48" t="n"/>
      <c r="F259" s="49" t="n"/>
      <c r="G259" s="49" t="n"/>
      <c r="H259" s="49" t="n"/>
      <c r="I259" s="49" t="n"/>
      <c r="J259" s="49" t="n"/>
      <c r="K259" s="49" t="n"/>
      <c r="L259" s="49" t="n"/>
      <c r="M259" s="49" t="n"/>
      <c r="N259" s="49" t="n"/>
      <c r="O259" s="49" t="n"/>
      <c r="P259" s="50" t="n"/>
      <c r="Q259" s="51" t="str">
        <f>IF(AND(ISNUMBER($F259),$F259&gt;0,ISNUMBER($G259)),$G259/$F259,"")</f>
        <v/>
      </c>
      <c r="R259" s="51" t="str">
        <f>IF(AND(ISNUMBER($F259),$F259&gt;0,ISNUMBER($H259)),$H259/$F259,"")</f>
        <v/>
      </c>
      <c r="S259" s="52" t="str">
        <f>IF(AND(ISNUMBER($J259),ISNUMBER($L259)),IF($L259&gt;0,$J259/$L259,""),"")</f>
        <v/>
      </c>
      <c r="T259" s="53" t="str">
        <f>IF(ISNUMBER($A259),YEAR($A259)&amp;"-"&amp;TEXT(MONTH($A259),"00"),"")</f>
        <v/>
      </c>
    </row>
    <row r="260">
      <c r="A260" s="47" t="n"/>
      <c r="B260" s="48" t="n"/>
      <c r="C260" s="48" t="n"/>
      <c r="D260" s="48" t="n"/>
      <c r="E260" s="48" t="n"/>
      <c r="F260" s="49" t="n"/>
      <c r="G260" s="49" t="n"/>
      <c r="H260" s="49" t="n"/>
      <c r="I260" s="49" t="n"/>
      <c r="J260" s="49" t="n"/>
      <c r="K260" s="49" t="n"/>
      <c r="L260" s="49" t="n"/>
      <c r="M260" s="49" t="n"/>
      <c r="N260" s="49" t="n"/>
      <c r="O260" s="49" t="n"/>
      <c r="P260" s="50" t="n"/>
      <c r="Q260" s="51" t="str">
        <f>IF(AND(ISNUMBER($F260),$F260&gt;0,ISNUMBER($G260)),$G260/$F260,"")</f>
        <v/>
      </c>
      <c r="R260" s="51" t="str">
        <f>IF(AND(ISNUMBER($F260),$F260&gt;0,ISNUMBER($H260)),$H260/$F260,"")</f>
        <v/>
      </c>
      <c r="S260" s="52" t="str">
        <f>IF(AND(ISNUMBER($J260),ISNUMBER($L260)),IF($L260&gt;0,$J260/$L260,""),"")</f>
        <v/>
      </c>
      <c r="T260" s="53" t="str">
        <f>IF(ISNUMBER($A260),YEAR($A260)&amp;"-"&amp;TEXT(MONTH($A260),"00"),"")</f>
        <v/>
      </c>
    </row>
    <row r="261">
      <c r="A261" s="47" t="n"/>
      <c r="B261" s="48" t="n"/>
      <c r="C261" s="48" t="n"/>
      <c r="D261" s="48" t="n"/>
      <c r="E261" s="48" t="n"/>
      <c r="F261" s="49" t="n"/>
      <c r="G261" s="49" t="n"/>
      <c r="H261" s="49" t="n"/>
      <c r="I261" s="49" t="n"/>
      <c r="J261" s="49" t="n"/>
      <c r="K261" s="49" t="n"/>
      <c r="L261" s="49" t="n"/>
      <c r="M261" s="49" t="n"/>
      <c r="N261" s="49" t="n"/>
      <c r="O261" s="49" t="n"/>
      <c r="P261" s="50" t="n"/>
      <c r="Q261" s="51" t="str">
        <f>IF(AND(ISNUMBER($F261),$F261&gt;0,ISNUMBER($G261)),$G261/$F261,"")</f>
        <v/>
      </c>
      <c r="R261" s="51" t="str">
        <f>IF(AND(ISNUMBER($F261),$F261&gt;0,ISNUMBER($H261)),$H261/$F261,"")</f>
        <v/>
      </c>
      <c r="S261" s="52" t="str">
        <f>IF(AND(ISNUMBER($J261),ISNUMBER($L261)),IF($L261&gt;0,$J261/$L261,""),"")</f>
        <v/>
      </c>
      <c r="T261" s="53" t="str">
        <f>IF(ISNUMBER($A261),YEAR($A261)&amp;"-"&amp;TEXT(MONTH($A261),"00"),"")</f>
        <v/>
      </c>
    </row>
    <row r="262">
      <c r="A262" s="47" t="n"/>
      <c r="B262" s="48" t="n"/>
      <c r="C262" s="48" t="n"/>
      <c r="D262" s="48" t="n"/>
      <c r="E262" s="48" t="n"/>
      <c r="F262" s="49" t="n"/>
      <c r="G262" s="49" t="n"/>
      <c r="H262" s="49" t="n"/>
      <c r="I262" s="49" t="n"/>
      <c r="J262" s="49" t="n"/>
      <c r="K262" s="49" t="n"/>
      <c r="L262" s="49" t="n"/>
      <c r="M262" s="49" t="n"/>
      <c r="N262" s="49" t="n"/>
      <c r="O262" s="49" t="n"/>
      <c r="P262" s="50" t="n"/>
      <c r="Q262" s="51" t="str">
        <f>IF(AND(ISNUMBER($F262),$F262&gt;0,ISNUMBER($G262)),$G262/$F262,"")</f>
        <v/>
      </c>
      <c r="R262" s="51" t="str">
        <f>IF(AND(ISNUMBER($F262),$F262&gt;0,ISNUMBER($H262)),$H262/$F262,"")</f>
        <v/>
      </c>
      <c r="S262" s="52" t="str">
        <f>IF(AND(ISNUMBER($J262),ISNUMBER($L262)),IF($L262&gt;0,$J262/$L262,""),"")</f>
        <v/>
      </c>
      <c r="T262" s="53" t="str">
        <f>IF(ISNUMBER($A262),YEAR($A262)&amp;"-"&amp;TEXT(MONTH($A262),"00"),"")</f>
        <v/>
      </c>
    </row>
    <row r="263">
      <c r="A263" s="47" t="n"/>
      <c r="B263" s="48" t="n"/>
      <c r="C263" s="48" t="n"/>
      <c r="D263" s="48" t="n"/>
      <c r="E263" s="48" t="n"/>
      <c r="F263" s="49" t="n"/>
      <c r="G263" s="49" t="n"/>
      <c r="H263" s="49" t="n"/>
      <c r="I263" s="49" t="n"/>
      <c r="J263" s="49" t="n"/>
      <c r="K263" s="49" t="n"/>
      <c r="L263" s="49" t="n"/>
      <c r="M263" s="49" t="n"/>
      <c r="N263" s="49" t="n"/>
      <c r="O263" s="49" t="n"/>
      <c r="P263" s="50" t="n"/>
      <c r="Q263" s="51" t="str">
        <f>IF(AND(ISNUMBER($F263),$F263&gt;0,ISNUMBER($G263)),$G263/$F263,"")</f>
        <v/>
      </c>
      <c r="R263" s="51" t="str">
        <f>IF(AND(ISNUMBER($F263),$F263&gt;0,ISNUMBER($H263)),$H263/$F263,"")</f>
        <v/>
      </c>
      <c r="S263" s="52" t="str">
        <f>IF(AND(ISNUMBER($J263),ISNUMBER($L263)),IF($L263&gt;0,$J263/$L263,""),"")</f>
        <v/>
      </c>
      <c r="T263" s="53" t="str">
        <f>IF(ISNUMBER($A263),YEAR($A263)&amp;"-"&amp;TEXT(MONTH($A263),"00"),"")</f>
        <v/>
      </c>
    </row>
    <row r="264">
      <c r="A264" s="47" t="n"/>
      <c r="B264" s="48" t="n"/>
      <c r="C264" s="48" t="n"/>
      <c r="D264" s="48" t="n"/>
      <c r="E264" s="48" t="n"/>
      <c r="F264" s="49" t="n"/>
      <c r="G264" s="49" t="n"/>
      <c r="H264" s="49" t="n"/>
      <c r="I264" s="49" t="n"/>
      <c r="J264" s="49" t="n"/>
      <c r="K264" s="49" t="n"/>
      <c r="L264" s="49" t="n"/>
      <c r="M264" s="49" t="n"/>
      <c r="N264" s="49" t="n"/>
      <c r="O264" s="49" t="n"/>
      <c r="P264" s="50" t="n"/>
      <c r="Q264" s="51" t="str">
        <f>IF(AND(ISNUMBER($F264),$F264&gt;0,ISNUMBER($G264)),$G264/$F264,"")</f>
        <v/>
      </c>
      <c r="R264" s="51" t="str">
        <f>IF(AND(ISNUMBER($F264),$F264&gt;0,ISNUMBER($H264)),$H264/$F264,"")</f>
        <v/>
      </c>
      <c r="S264" s="52" t="str">
        <f>IF(AND(ISNUMBER($J264),ISNUMBER($L264)),IF($L264&gt;0,$J264/$L264,""),"")</f>
        <v/>
      </c>
      <c r="T264" s="53" t="str">
        <f>IF(ISNUMBER($A264),YEAR($A264)&amp;"-"&amp;TEXT(MONTH($A264),"00"),"")</f>
        <v/>
      </c>
    </row>
    <row r="265">
      <c r="A265" s="47" t="n"/>
      <c r="B265" s="48" t="n"/>
      <c r="C265" s="48" t="n"/>
      <c r="D265" s="48" t="n"/>
      <c r="E265" s="48" t="n"/>
      <c r="F265" s="49" t="n"/>
      <c r="G265" s="49" t="n"/>
      <c r="H265" s="49" t="n"/>
      <c r="I265" s="49" t="n"/>
      <c r="J265" s="49" t="n"/>
      <c r="K265" s="49" t="n"/>
      <c r="L265" s="49" t="n"/>
      <c r="M265" s="49" t="n"/>
      <c r="N265" s="49" t="n"/>
      <c r="O265" s="49" t="n"/>
      <c r="P265" s="50" t="n"/>
      <c r="Q265" s="51" t="str">
        <f>IF(AND(ISNUMBER($F265),$F265&gt;0,ISNUMBER($G265)),$G265/$F265,"")</f>
        <v/>
      </c>
      <c r="R265" s="51" t="str">
        <f>IF(AND(ISNUMBER($F265),$F265&gt;0,ISNUMBER($H265)),$H265/$F265,"")</f>
        <v/>
      </c>
      <c r="S265" s="52" t="str">
        <f>IF(AND(ISNUMBER($J265),ISNUMBER($L265)),IF($L265&gt;0,$J265/$L265,""),"")</f>
        <v/>
      </c>
      <c r="T265" s="53" t="str">
        <f>IF(ISNUMBER($A265),YEAR($A265)&amp;"-"&amp;TEXT(MONTH($A265),"00"),"")</f>
        <v/>
      </c>
    </row>
    <row r="266">
      <c r="A266" s="47" t="n"/>
      <c r="B266" s="48" t="n"/>
      <c r="C266" s="48" t="n"/>
      <c r="D266" s="48" t="n"/>
      <c r="E266" s="48" t="n"/>
      <c r="F266" s="49" t="n"/>
      <c r="G266" s="49" t="n"/>
      <c r="H266" s="49" t="n"/>
      <c r="I266" s="49" t="n"/>
      <c r="J266" s="49" t="n"/>
      <c r="K266" s="49" t="n"/>
      <c r="L266" s="49" t="n"/>
      <c r="M266" s="49" t="n"/>
      <c r="N266" s="49" t="n"/>
      <c r="O266" s="49" t="n"/>
      <c r="P266" s="50" t="n"/>
      <c r="Q266" s="51" t="str">
        <f>IF(AND(ISNUMBER($F266),$F266&gt;0,ISNUMBER($G266)),$G266/$F266,"")</f>
        <v/>
      </c>
      <c r="R266" s="51" t="str">
        <f>IF(AND(ISNUMBER($F266),$F266&gt;0,ISNUMBER($H266)),$H266/$F266,"")</f>
        <v/>
      </c>
      <c r="S266" s="52" t="str">
        <f>IF(AND(ISNUMBER($J266),ISNUMBER($L266)),IF($L266&gt;0,$J266/$L266,""),"")</f>
        <v/>
      </c>
      <c r="T266" s="53" t="str">
        <f>IF(ISNUMBER($A266),YEAR($A266)&amp;"-"&amp;TEXT(MONTH($A266),"00"),"")</f>
        <v/>
      </c>
    </row>
    <row r="267">
      <c r="A267" s="47" t="n"/>
      <c r="B267" s="48" t="n"/>
      <c r="C267" s="48" t="n"/>
      <c r="D267" s="48" t="n"/>
      <c r="E267" s="48" t="n"/>
      <c r="F267" s="49" t="n"/>
      <c r="G267" s="49" t="n"/>
      <c r="H267" s="49" t="n"/>
      <c r="I267" s="49" t="n"/>
      <c r="J267" s="49" t="n"/>
      <c r="K267" s="49" t="n"/>
      <c r="L267" s="49" t="n"/>
      <c r="M267" s="49" t="n"/>
      <c r="N267" s="49" t="n"/>
      <c r="O267" s="49" t="n"/>
      <c r="P267" s="50" t="n"/>
      <c r="Q267" s="51" t="str">
        <f>IF(AND(ISNUMBER($F267),$F267&gt;0,ISNUMBER($G267)),$G267/$F267,"")</f>
        <v/>
      </c>
      <c r="R267" s="51" t="str">
        <f>IF(AND(ISNUMBER($F267),$F267&gt;0,ISNUMBER($H267)),$H267/$F267,"")</f>
        <v/>
      </c>
      <c r="S267" s="52" t="str">
        <f>IF(AND(ISNUMBER($J267),ISNUMBER($L267)),IF($L267&gt;0,$J267/$L267,""),"")</f>
        <v/>
      </c>
      <c r="T267" s="53" t="str">
        <f>IF(ISNUMBER($A267),YEAR($A267)&amp;"-"&amp;TEXT(MONTH($A267),"00"),"")</f>
        <v/>
      </c>
    </row>
    <row r="268">
      <c r="A268" s="47" t="n"/>
      <c r="B268" s="48" t="n"/>
      <c r="C268" s="48" t="n"/>
      <c r="D268" s="48" t="n"/>
      <c r="E268" s="48" t="n"/>
      <c r="F268" s="49" t="n"/>
      <c r="G268" s="49" t="n"/>
      <c r="H268" s="49" t="n"/>
      <c r="I268" s="49" t="n"/>
      <c r="J268" s="49" t="n"/>
      <c r="K268" s="49" t="n"/>
      <c r="L268" s="49" t="n"/>
      <c r="M268" s="49" t="n"/>
      <c r="N268" s="49" t="n"/>
      <c r="O268" s="49" t="n"/>
      <c r="P268" s="50" t="n"/>
      <c r="Q268" s="51" t="str">
        <f>IF(AND(ISNUMBER($F268),$F268&gt;0,ISNUMBER($G268)),$G268/$F268,"")</f>
        <v/>
      </c>
      <c r="R268" s="51" t="str">
        <f>IF(AND(ISNUMBER($F268),$F268&gt;0,ISNUMBER($H268)),$H268/$F268,"")</f>
        <v/>
      </c>
      <c r="S268" s="52" t="str">
        <f>IF(AND(ISNUMBER($J268),ISNUMBER($L268)),IF($L268&gt;0,$J268/$L268,""),"")</f>
        <v/>
      </c>
      <c r="T268" s="53" t="str">
        <f>IF(ISNUMBER($A268),YEAR($A268)&amp;"-"&amp;TEXT(MONTH($A268),"00"),"")</f>
        <v/>
      </c>
    </row>
    <row r="269">
      <c r="A269" s="47" t="n"/>
      <c r="B269" s="48" t="n"/>
      <c r="C269" s="48" t="n"/>
      <c r="D269" s="48" t="n"/>
      <c r="E269" s="48" t="n"/>
      <c r="F269" s="49" t="n"/>
      <c r="G269" s="49" t="n"/>
      <c r="H269" s="49" t="n"/>
      <c r="I269" s="49" t="n"/>
      <c r="J269" s="49" t="n"/>
      <c r="K269" s="49" t="n"/>
      <c r="L269" s="49" t="n"/>
      <c r="M269" s="49" t="n"/>
      <c r="N269" s="49" t="n"/>
      <c r="O269" s="49" t="n"/>
      <c r="P269" s="50" t="n"/>
      <c r="Q269" s="51" t="str">
        <f>IF(AND(ISNUMBER($F269),$F269&gt;0,ISNUMBER($G269)),$G269/$F269,"")</f>
        <v/>
      </c>
      <c r="R269" s="51" t="str">
        <f>IF(AND(ISNUMBER($F269),$F269&gt;0,ISNUMBER($H269)),$H269/$F269,"")</f>
        <v/>
      </c>
      <c r="S269" s="52" t="str">
        <f>IF(AND(ISNUMBER($J269),ISNUMBER($L269)),IF($L269&gt;0,$J269/$L269,""),"")</f>
        <v/>
      </c>
      <c r="T269" s="53" t="str">
        <f>IF(ISNUMBER($A269),YEAR($A269)&amp;"-"&amp;TEXT(MONTH($A269),"00"),"")</f>
        <v/>
      </c>
    </row>
    <row r="270">
      <c r="A270" s="47" t="n"/>
      <c r="B270" s="48" t="n"/>
      <c r="C270" s="48" t="n"/>
      <c r="D270" s="48" t="n"/>
      <c r="E270" s="48" t="n"/>
      <c r="F270" s="49" t="n"/>
      <c r="G270" s="49" t="n"/>
      <c r="H270" s="49" t="n"/>
      <c r="I270" s="49" t="n"/>
      <c r="J270" s="49" t="n"/>
      <c r="K270" s="49" t="n"/>
      <c r="L270" s="49" t="n"/>
      <c r="M270" s="49" t="n"/>
      <c r="N270" s="49" t="n"/>
      <c r="O270" s="49" t="n"/>
      <c r="P270" s="50" t="n"/>
      <c r="Q270" s="51" t="str">
        <f>IF(AND(ISNUMBER($F270),$F270&gt;0,ISNUMBER($G270)),$G270/$F270,"")</f>
        <v/>
      </c>
      <c r="R270" s="51" t="str">
        <f>IF(AND(ISNUMBER($F270),$F270&gt;0,ISNUMBER($H270)),$H270/$F270,"")</f>
        <v/>
      </c>
      <c r="S270" s="52" t="str">
        <f>IF(AND(ISNUMBER($J270),ISNUMBER($L270)),IF($L270&gt;0,$J270/$L270,""),"")</f>
        <v/>
      </c>
      <c r="T270" s="53" t="str">
        <f>IF(ISNUMBER($A270),YEAR($A270)&amp;"-"&amp;TEXT(MONTH($A270),"00"),"")</f>
        <v/>
      </c>
    </row>
    <row r="271">
      <c r="A271" s="47" t="n"/>
      <c r="B271" s="48" t="n"/>
      <c r="C271" s="48" t="n"/>
      <c r="D271" s="48" t="n"/>
      <c r="E271" s="48" t="n"/>
      <c r="F271" s="49" t="n"/>
      <c r="G271" s="49" t="n"/>
      <c r="H271" s="49" t="n"/>
      <c r="I271" s="49" t="n"/>
      <c r="J271" s="49" t="n"/>
      <c r="K271" s="49" t="n"/>
      <c r="L271" s="49" t="n"/>
      <c r="M271" s="49" t="n"/>
      <c r="N271" s="49" t="n"/>
      <c r="O271" s="49" t="n"/>
      <c r="P271" s="50" t="n"/>
      <c r="Q271" s="51" t="str">
        <f>IF(AND(ISNUMBER($F271),$F271&gt;0,ISNUMBER($G271)),$G271/$F271,"")</f>
        <v/>
      </c>
      <c r="R271" s="51" t="str">
        <f>IF(AND(ISNUMBER($F271),$F271&gt;0,ISNUMBER($H271)),$H271/$F271,"")</f>
        <v/>
      </c>
      <c r="S271" s="52" t="str">
        <f>IF(AND(ISNUMBER($J271),ISNUMBER($L271)),IF($L271&gt;0,$J271/$L271,""),"")</f>
        <v/>
      </c>
      <c r="T271" s="53" t="str">
        <f>IF(ISNUMBER($A271),YEAR($A271)&amp;"-"&amp;TEXT(MONTH($A271),"00"),"")</f>
        <v/>
      </c>
    </row>
    <row r="272">
      <c r="A272" s="47" t="n"/>
      <c r="B272" s="48" t="n"/>
      <c r="C272" s="48" t="n"/>
      <c r="D272" s="48" t="n"/>
      <c r="E272" s="48" t="n"/>
      <c r="F272" s="49" t="n"/>
      <c r="G272" s="49" t="n"/>
      <c r="H272" s="49" t="n"/>
      <c r="I272" s="49" t="n"/>
      <c r="J272" s="49" t="n"/>
      <c r="K272" s="49" t="n"/>
      <c r="L272" s="49" t="n"/>
      <c r="M272" s="49" t="n"/>
      <c r="N272" s="49" t="n"/>
      <c r="O272" s="49" t="n"/>
      <c r="P272" s="50" t="n"/>
      <c r="Q272" s="51" t="str">
        <f>IF(AND(ISNUMBER($F272),$F272&gt;0,ISNUMBER($G272)),$G272/$F272,"")</f>
        <v/>
      </c>
      <c r="R272" s="51" t="str">
        <f>IF(AND(ISNUMBER($F272),$F272&gt;0,ISNUMBER($H272)),$H272/$F272,"")</f>
        <v/>
      </c>
      <c r="S272" s="52" t="str">
        <f>IF(AND(ISNUMBER($J272),ISNUMBER($L272)),IF($L272&gt;0,$J272/$L272,""),"")</f>
        <v/>
      </c>
      <c r="T272" s="53" t="str">
        <f>IF(ISNUMBER($A272),YEAR($A272)&amp;"-"&amp;TEXT(MONTH($A272),"00"),"")</f>
        <v/>
      </c>
    </row>
    <row r="273">
      <c r="A273" s="47" t="n"/>
      <c r="B273" s="48" t="n"/>
      <c r="C273" s="48" t="n"/>
      <c r="D273" s="48" t="n"/>
      <c r="E273" s="48" t="n"/>
      <c r="F273" s="49" t="n"/>
      <c r="G273" s="49" t="n"/>
      <c r="H273" s="49" t="n"/>
      <c r="I273" s="49" t="n"/>
      <c r="J273" s="49" t="n"/>
      <c r="K273" s="49" t="n"/>
      <c r="L273" s="49" t="n"/>
      <c r="M273" s="49" t="n"/>
      <c r="N273" s="49" t="n"/>
      <c r="O273" s="49" t="n"/>
      <c r="P273" s="50" t="n"/>
      <c r="Q273" s="51" t="str">
        <f>IF(AND(ISNUMBER($F273),$F273&gt;0,ISNUMBER($G273)),$G273/$F273,"")</f>
        <v/>
      </c>
      <c r="R273" s="51" t="str">
        <f>IF(AND(ISNUMBER($F273),$F273&gt;0,ISNUMBER($H273)),$H273/$F273,"")</f>
        <v/>
      </c>
      <c r="S273" s="52" t="str">
        <f>IF(AND(ISNUMBER($J273),ISNUMBER($L273)),IF($L273&gt;0,$J273/$L273,""),"")</f>
        <v/>
      </c>
      <c r="T273" s="53" t="str">
        <f>IF(ISNUMBER($A273),YEAR($A273)&amp;"-"&amp;TEXT(MONTH($A273),"00"),"")</f>
        <v/>
      </c>
    </row>
    <row r="274">
      <c r="A274" s="47" t="n"/>
      <c r="B274" s="48" t="n"/>
      <c r="C274" s="48" t="n"/>
      <c r="D274" s="48" t="n"/>
      <c r="E274" s="48" t="n"/>
      <c r="F274" s="49" t="n"/>
      <c r="G274" s="49" t="n"/>
      <c r="H274" s="49" t="n"/>
      <c r="I274" s="49" t="n"/>
      <c r="J274" s="49" t="n"/>
      <c r="K274" s="49" t="n"/>
      <c r="L274" s="49" t="n"/>
      <c r="M274" s="49" t="n"/>
      <c r="N274" s="49" t="n"/>
      <c r="O274" s="49" t="n"/>
      <c r="P274" s="50" t="n"/>
      <c r="Q274" s="51" t="str">
        <f>IF(AND(ISNUMBER($F274),$F274&gt;0,ISNUMBER($G274)),$G274/$F274,"")</f>
        <v/>
      </c>
      <c r="R274" s="51" t="str">
        <f>IF(AND(ISNUMBER($F274),$F274&gt;0,ISNUMBER($H274)),$H274/$F274,"")</f>
        <v/>
      </c>
      <c r="S274" s="52" t="str">
        <f>IF(AND(ISNUMBER($J274),ISNUMBER($L274)),IF($L274&gt;0,$J274/$L274,""),"")</f>
        <v/>
      </c>
      <c r="T274" s="53" t="str">
        <f>IF(ISNUMBER($A274),YEAR($A274)&amp;"-"&amp;TEXT(MONTH($A274),"00"),"")</f>
        <v/>
      </c>
    </row>
    <row r="275">
      <c r="A275" s="47" t="n"/>
      <c r="B275" s="48" t="n"/>
      <c r="C275" s="48" t="n"/>
      <c r="D275" s="48" t="n"/>
      <c r="E275" s="48" t="n"/>
      <c r="F275" s="49" t="n"/>
      <c r="G275" s="49" t="n"/>
      <c r="H275" s="49" t="n"/>
      <c r="I275" s="49" t="n"/>
      <c r="J275" s="49" t="n"/>
      <c r="K275" s="49" t="n"/>
      <c r="L275" s="49" t="n"/>
      <c r="M275" s="49" t="n"/>
      <c r="N275" s="49" t="n"/>
      <c r="O275" s="49" t="n"/>
      <c r="P275" s="50" t="n"/>
      <c r="Q275" s="51" t="str">
        <f>IF(AND(ISNUMBER($F275),$F275&gt;0,ISNUMBER($G275)),$G275/$F275,"")</f>
        <v/>
      </c>
      <c r="R275" s="51" t="str">
        <f>IF(AND(ISNUMBER($F275),$F275&gt;0,ISNUMBER($H275)),$H275/$F275,"")</f>
        <v/>
      </c>
      <c r="S275" s="52" t="str">
        <f>IF(AND(ISNUMBER($J275),ISNUMBER($L275)),IF($L275&gt;0,$J275/$L275,""),"")</f>
        <v/>
      </c>
      <c r="T275" s="53" t="str">
        <f>IF(ISNUMBER($A275),YEAR($A275)&amp;"-"&amp;TEXT(MONTH($A275),"00"),"")</f>
        <v/>
      </c>
    </row>
    <row r="276">
      <c r="A276" s="47" t="n"/>
      <c r="B276" s="48" t="n"/>
      <c r="C276" s="48" t="n"/>
      <c r="D276" s="48" t="n"/>
      <c r="E276" s="48" t="n"/>
      <c r="F276" s="49" t="n"/>
      <c r="G276" s="49" t="n"/>
      <c r="H276" s="49" t="n"/>
      <c r="I276" s="49" t="n"/>
      <c r="J276" s="49" t="n"/>
      <c r="K276" s="49" t="n"/>
      <c r="L276" s="49" t="n"/>
      <c r="M276" s="49" t="n"/>
      <c r="N276" s="49" t="n"/>
      <c r="O276" s="49" t="n"/>
      <c r="P276" s="50" t="n"/>
      <c r="Q276" s="51" t="str">
        <f>IF(AND(ISNUMBER($F276),$F276&gt;0,ISNUMBER($G276)),$G276/$F276,"")</f>
        <v/>
      </c>
      <c r="R276" s="51" t="str">
        <f>IF(AND(ISNUMBER($F276),$F276&gt;0,ISNUMBER($H276)),$H276/$F276,"")</f>
        <v/>
      </c>
      <c r="S276" s="52" t="str">
        <f>IF(AND(ISNUMBER($J276),ISNUMBER($L276)),IF($L276&gt;0,$J276/$L276,""),"")</f>
        <v/>
      </c>
      <c r="T276" s="53" t="str">
        <f>IF(ISNUMBER($A276),YEAR($A276)&amp;"-"&amp;TEXT(MONTH($A276),"00"),"")</f>
        <v/>
      </c>
    </row>
    <row r="277">
      <c r="A277" s="47" t="n"/>
      <c r="B277" s="48" t="n"/>
      <c r="C277" s="48" t="n"/>
      <c r="D277" s="48" t="n"/>
      <c r="E277" s="48" t="n"/>
      <c r="F277" s="49" t="n"/>
      <c r="G277" s="49" t="n"/>
      <c r="H277" s="49" t="n"/>
      <c r="I277" s="49" t="n"/>
      <c r="J277" s="49" t="n"/>
      <c r="K277" s="49" t="n"/>
      <c r="L277" s="49" t="n"/>
      <c r="M277" s="49" t="n"/>
      <c r="N277" s="49" t="n"/>
      <c r="O277" s="49" t="n"/>
      <c r="P277" s="50" t="n"/>
      <c r="Q277" s="51" t="str">
        <f>IF(AND(ISNUMBER($F277),$F277&gt;0,ISNUMBER($G277)),$G277/$F277,"")</f>
        <v/>
      </c>
      <c r="R277" s="51" t="str">
        <f>IF(AND(ISNUMBER($F277),$F277&gt;0,ISNUMBER($H277)),$H277/$F277,"")</f>
        <v/>
      </c>
      <c r="S277" s="52" t="str">
        <f>IF(AND(ISNUMBER($J277),ISNUMBER($L277)),IF($L277&gt;0,$J277/$L277,""),"")</f>
        <v/>
      </c>
      <c r="T277" s="53" t="str">
        <f>IF(ISNUMBER($A277),YEAR($A277)&amp;"-"&amp;TEXT(MONTH($A277),"00"),"")</f>
        <v/>
      </c>
    </row>
    <row r="278">
      <c r="A278" s="47" t="n"/>
      <c r="B278" s="48" t="n"/>
      <c r="C278" s="48" t="n"/>
      <c r="D278" s="48" t="n"/>
      <c r="E278" s="48" t="n"/>
      <c r="F278" s="49" t="n"/>
      <c r="G278" s="49" t="n"/>
      <c r="H278" s="49" t="n"/>
      <c r="I278" s="49" t="n"/>
      <c r="J278" s="49" t="n"/>
      <c r="K278" s="49" t="n"/>
      <c r="L278" s="49" t="n"/>
      <c r="M278" s="49" t="n"/>
      <c r="N278" s="49" t="n"/>
      <c r="O278" s="49" t="n"/>
      <c r="P278" s="50" t="n"/>
      <c r="Q278" s="51" t="str">
        <f>IF(AND(ISNUMBER($F278),$F278&gt;0,ISNUMBER($G278)),$G278/$F278,"")</f>
        <v/>
      </c>
      <c r="R278" s="51" t="str">
        <f>IF(AND(ISNUMBER($F278),$F278&gt;0,ISNUMBER($H278)),$H278/$F278,"")</f>
        <v/>
      </c>
      <c r="S278" s="52" t="str">
        <f>IF(AND(ISNUMBER($J278),ISNUMBER($L278)),IF($L278&gt;0,$J278/$L278,""),"")</f>
        <v/>
      </c>
      <c r="T278" s="53" t="str">
        <f>IF(ISNUMBER($A278),YEAR($A278)&amp;"-"&amp;TEXT(MONTH($A278),"00"),"")</f>
        <v/>
      </c>
    </row>
    <row r="279">
      <c r="A279" s="47" t="n"/>
      <c r="B279" s="48" t="n"/>
      <c r="C279" s="48" t="n"/>
      <c r="D279" s="48" t="n"/>
      <c r="E279" s="48" t="n"/>
      <c r="F279" s="49" t="n"/>
      <c r="G279" s="49" t="n"/>
      <c r="H279" s="49" t="n"/>
      <c r="I279" s="49" t="n"/>
      <c r="J279" s="49" t="n"/>
      <c r="K279" s="49" t="n"/>
      <c r="L279" s="49" t="n"/>
      <c r="M279" s="49" t="n"/>
      <c r="N279" s="49" t="n"/>
      <c r="O279" s="49" t="n"/>
      <c r="P279" s="50" t="n"/>
      <c r="Q279" s="51" t="str">
        <f>IF(AND(ISNUMBER($F279),$F279&gt;0,ISNUMBER($G279)),$G279/$F279,"")</f>
        <v/>
      </c>
      <c r="R279" s="51" t="str">
        <f>IF(AND(ISNUMBER($F279),$F279&gt;0,ISNUMBER($H279)),$H279/$F279,"")</f>
        <v/>
      </c>
      <c r="S279" s="52" t="str">
        <f>IF(AND(ISNUMBER($J279),ISNUMBER($L279)),IF($L279&gt;0,$J279/$L279,""),"")</f>
        <v/>
      </c>
      <c r="T279" s="53" t="str">
        <f>IF(ISNUMBER($A279),YEAR($A279)&amp;"-"&amp;TEXT(MONTH($A279),"00"),"")</f>
        <v/>
      </c>
    </row>
    <row r="280">
      <c r="A280" s="47" t="n"/>
      <c r="B280" s="48" t="n"/>
      <c r="C280" s="48" t="n"/>
      <c r="D280" s="48" t="n"/>
      <c r="E280" s="48" t="n"/>
      <c r="F280" s="49" t="n"/>
      <c r="G280" s="49" t="n"/>
      <c r="H280" s="49" t="n"/>
      <c r="I280" s="49" t="n"/>
      <c r="J280" s="49" t="n"/>
      <c r="K280" s="49" t="n"/>
      <c r="L280" s="49" t="n"/>
      <c r="M280" s="49" t="n"/>
      <c r="N280" s="49" t="n"/>
      <c r="O280" s="49" t="n"/>
      <c r="P280" s="50" t="n"/>
      <c r="Q280" s="51" t="str">
        <f>IF(AND(ISNUMBER($F280),$F280&gt;0,ISNUMBER($G280)),$G280/$F280,"")</f>
        <v/>
      </c>
      <c r="R280" s="51" t="str">
        <f>IF(AND(ISNUMBER($F280),$F280&gt;0,ISNUMBER($H280)),$H280/$F280,"")</f>
        <v/>
      </c>
      <c r="S280" s="52" t="str">
        <f>IF(AND(ISNUMBER($J280),ISNUMBER($L280)),IF($L280&gt;0,$J280/$L280,""),"")</f>
        <v/>
      </c>
      <c r="T280" s="53" t="str">
        <f>IF(ISNUMBER($A280),YEAR($A280)&amp;"-"&amp;TEXT(MONTH($A280),"00"),"")</f>
        <v/>
      </c>
    </row>
    <row r="281">
      <c r="A281" s="47" t="n"/>
      <c r="B281" s="48" t="n"/>
      <c r="C281" s="48" t="n"/>
      <c r="D281" s="48" t="n"/>
      <c r="E281" s="48" t="n"/>
      <c r="F281" s="49" t="n"/>
      <c r="G281" s="49" t="n"/>
      <c r="H281" s="49" t="n"/>
      <c r="I281" s="49" t="n"/>
      <c r="J281" s="49" t="n"/>
      <c r="K281" s="49" t="n"/>
      <c r="L281" s="49" t="n"/>
      <c r="M281" s="49" t="n"/>
      <c r="N281" s="49" t="n"/>
      <c r="O281" s="49" t="n"/>
      <c r="P281" s="50" t="n"/>
      <c r="Q281" s="51" t="str">
        <f>IF(AND(ISNUMBER($F281),$F281&gt;0,ISNUMBER($G281)),$G281/$F281,"")</f>
        <v/>
      </c>
      <c r="R281" s="51" t="str">
        <f>IF(AND(ISNUMBER($F281),$F281&gt;0,ISNUMBER($H281)),$H281/$F281,"")</f>
        <v/>
      </c>
      <c r="S281" s="52" t="str">
        <f>IF(AND(ISNUMBER($J281),ISNUMBER($L281)),IF($L281&gt;0,$J281/$L281,""),"")</f>
        <v/>
      </c>
      <c r="T281" s="53" t="str">
        <f>IF(ISNUMBER($A281),YEAR($A281)&amp;"-"&amp;TEXT(MONTH($A281),"00"),"")</f>
        <v/>
      </c>
    </row>
    <row r="282">
      <c r="A282" s="47" t="n"/>
      <c r="B282" s="48" t="n"/>
      <c r="C282" s="48" t="n"/>
      <c r="D282" s="48" t="n"/>
      <c r="E282" s="48" t="n"/>
      <c r="F282" s="49" t="n"/>
      <c r="G282" s="49" t="n"/>
      <c r="H282" s="49" t="n"/>
      <c r="I282" s="49" t="n"/>
      <c r="J282" s="49" t="n"/>
      <c r="K282" s="49" t="n"/>
      <c r="L282" s="49" t="n"/>
      <c r="M282" s="49" t="n"/>
      <c r="N282" s="49" t="n"/>
      <c r="O282" s="49" t="n"/>
      <c r="P282" s="50" t="n"/>
      <c r="Q282" s="51" t="str">
        <f>IF(AND(ISNUMBER($F282),$F282&gt;0,ISNUMBER($G282)),$G282/$F282,"")</f>
        <v/>
      </c>
      <c r="R282" s="51" t="str">
        <f>IF(AND(ISNUMBER($F282),$F282&gt;0,ISNUMBER($H282)),$H282/$F282,"")</f>
        <v/>
      </c>
      <c r="S282" s="52" t="str">
        <f>IF(AND(ISNUMBER($J282),ISNUMBER($L282)),IF($L282&gt;0,$J282/$L282,""),"")</f>
        <v/>
      </c>
      <c r="T282" s="53" t="str">
        <f>IF(ISNUMBER($A282),YEAR($A282)&amp;"-"&amp;TEXT(MONTH($A282),"00"),"")</f>
        <v/>
      </c>
    </row>
    <row r="283">
      <c r="A283" s="47" t="n"/>
      <c r="B283" s="48" t="n"/>
      <c r="C283" s="48" t="n"/>
      <c r="D283" s="48" t="n"/>
      <c r="E283" s="48" t="n"/>
      <c r="F283" s="49" t="n"/>
      <c r="G283" s="49" t="n"/>
      <c r="H283" s="49" t="n"/>
      <c r="I283" s="49" t="n"/>
      <c r="J283" s="49" t="n"/>
      <c r="K283" s="49" t="n"/>
      <c r="L283" s="49" t="n"/>
      <c r="M283" s="49" t="n"/>
      <c r="N283" s="49" t="n"/>
      <c r="O283" s="49" t="n"/>
      <c r="P283" s="50" t="n"/>
      <c r="Q283" s="51" t="str">
        <f>IF(AND(ISNUMBER($F283),$F283&gt;0,ISNUMBER($G283)),$G283/$F283,"")</f>
        <v/>
      </c>
      <c r="R283" s="51" t="str">
        <f>IF(AND(ISNUMBER($F283),$F283&gt;0,ISNUMBER($H283)),$H283/$F283,"")</f>
        <v/>
      </c>
      <c r="S283" s="52" t="str">
        <f>IF(AND(ISNUMBER($J283),ISNUMBER($L283)),IF($L283&gt;0,$J283/$L283,""),"")</f>
        <v/>
      </c>
      <c r="T283" s="53" t="str">
        <f>IF(ISNUMBER($A283),YEAR($A283)&amp;"-"&amp;TEXT(MONTH($A283),"00"),"")</f>
        <v/>
      </c>
    </row>
    <row r="284">
      <c r="A284" s="47" t="n"/>
      <c r="B284" s="48" t="n"/>
      <c r="C284" s="48" t="n"/>
      <c r="D284" s="48" t="n"/>
      <c r="E284" s="48" t="n"/>
      <c r="F284" s="49" t="n"/>
      <c r="G284" s="49" t="n"/>
      <c r="H284" s="49" t="n"/>
      <c r="I284" s="49" t="n"/>
      <c r="J284" s="49" t="n"/>
      <c r="K284" s="49" t="n"/>
      <c r="L284" s="49" t="n"/>
      <c r="M284" s="49" t="n"/>
      <c r="N284" s="49" t="n"/>
      <c r="O284" s="49" t="n"/>
      <c r="P284" s="50" t="n"/>
      <c r="Q284" s="51" t="str">
        <f>IF(AND(ISNUMBER($F284),$F284&gt;0,ISNUMBER($G284)),$G284/$F284,"")</f>
        <v/>
      </c>
      <c r="R284" s="51" t="str">
        <f>IF(AND(ISNUMBER($F284),$F284&gt;0,ISNUMBER($H284)),$H284/$F284,"")</f>
        <v/>
      </c>
      <c r="S284" s="52" t="str">
        <f>IF(AND(ISNUMBER($J284),ISNUMBER($L284)),IF($L284&gt;0,$J284/$L284,""),"")</f>
        <v/>
      </c>
      <c r="T284" s="53" t="str">
        <f>IF(ISNUMBER($A284),YEAR($A284)&amp;"-"&amp;TEXT(MONTH($A284),"00"),"")</f>
        <v/>
      </c>
    </row>
    <row r="285">
      <c r="A285" s="47" t="n"/>
      <c r="B285" s="48" t="n"/>
      <c r="C285" s="48" t="n"/>
      <c r="D285" s="48" t="n"/>
      <c r="E285" s="48" t="n"/>
      <c r="F285" s="49" t="n"/>
      <c r="G285" s="49" t="n"/>
      <c r="H285" s="49" t="n"/>
      <c r="I285" s="49" t="n"/>
      <c r="J285" s="49" t="n"/>
      <c r="K285" s="49" t="n"/>
      <c r="L285" s="49" t="n"/>
      <c r="M285" s="49" t="n"/>
      <c r="N285" s="49" t="n"/>
      <c r="O285" s="49" t="n"/>
      <c r="P285" s="50" t="n"/>
      <c r="Q285" s="51" t="str">
        <f>IF(AND(ISNUMBER($F285),$F285&gt;0,ISNUMBER($G285)),$G285/$F285,"")</f>
        <v/>
      </c>
      <c r="R285" s="51" t="str">
        <f>IF(AND(ISNUMBER($F285),$F285&gt;0,ISNUMBER($H285)),$H285/$F285,"")</f>
        <v/>
      </c>
      <c r="S285" s="52" t="str">
        <f>IF(AND(ISNUMBER($J285),ISNUMBER($L285)),IF($L285&gt;0,$J285/$L285,""),"")</f>
        <v/>
      </c>
      <c r="T285" s="53" t="str">
        <f>IF(ISNUMBER($A285),YEAR($A285)&amp;"-"&amp;TEXT(MONTH($A285),"00"),"")</f>
        <v/>
      </c>
    </row>
    <row r="286">
      <c r="A286" s="47" t="n"/>
      <c r="B286" s="48" t="n"/>
      <c r="C286" s="48" t="n"/>
      <c r="D286" s="48" t="n"/>
      <c r="E286" s="48" t="n"/>
      <c r="F286" s="49" t="n"/>
      <c r="G286" s="49" t="n"/>
      <c r="H286" s="49" t="n"/>
      <c r="I286" s="49" t="n"/>
      <c r="J286" s="49" t="n"/>
      <c r="K286" s="49" t="n"/>
      <c r="L286" s="49" t="n"/>
      <c r="M286" s="49" t="n"/>
      <c r="N286" s="49" t="n"/>
      <c r="O286" s="49" t="n"/>
      <c r="P286" s="50" t="n"/>
      <c r="Q286" s="51" t="str">
        <f>IF(AND(ISNUMBER($F286),$F286&gt;0,ISNUMBER($G286)),$G286/$F286,"")</f>
        <v/>
      </c>
      <c r="R286" s="51" t="str">
        <f>IF(AND(ISNUMBER($F286),$F286&gt;0,ISNUMBER($H286)),$H286/$F286,"")</f>
        <v/>
      </c>
      <c r="S286" s="52" t="str">
        <f>IF(AND(ISNUMBER($J286),ISNUMBER($L286)),IF($L286&gt;0,$J286/$L286,""),"")</f>
        <v/>
      </c>
      <c r="T286" s="53" t="str">
        <f>IF(ISNUMBER($A286),YEAR($A286)&amp;"-"&amp;TEXT(MONTH($A286),"00"),"")</f>
        <v/>
      </c>
    </row>
    <row r="287">
      <c r="A287" s="47" t="n"/>
      <c r="B287" s="48" t="n"/>
      <c r="C287" s="48" t="n"/>
      <c r="D287" s="48" t="n"/>
      <c r="E287" s="48" t="n"/>
      <c r="F287" s="49" t="n"/>
      <c r="G287" s="49" t="n"/>
      <c r="H287" s="49" t="n"/>
      <c r="I287" s="49" t="n"/>
      <c r="J287" s="49" t="n"/>
      <c r="K287" s="49" t="n"/>
      <c r="L287" s="49" t="n"/>
      <c r="M287" s="49" t="n"/>
      <c r="N287" s="49" t="n"/>
      <c r="O287" s="49" t="n"/>
      <c r="P287" s="50" t="n"/>
      <c r="Q287" s="51" t="str">
        <f>IF(AND(ISNUMBER($F287),$F287&gt;0,ISNUMBER($G287)),$G287/$F287,"")</f>
        <v/>
      </c>
      <c r="R287" s="51" t="str">
        <f>IF(AND(ISNUMBER($F287),$F287&gt;0,ISNUMBER($H287)),$H287/$F287,"")</f>
        <v/>
      </c>
      <c r="S287" s="52" t="str">
        <f>IF(AND(ISNUMBER($J287),ISNUMBER($L287)),IF($L287&gt;0,$J287/$L287,""),"")</f>
        <v/>
      </c>
      <c r="T287" s="53" t="str">
        <f>IF(ISNUMBER($A287),YEAR($A287)&amp;"-"&amp;TEXT(MONTH($A287),"00"),"")</f>
        <v/>
      </c>
    </row>
    <row r="288">
      <c r="A288" s="47" t="n"/>
      <c r="B288" s="48" t="n"/>
      <c r="C288" s="48" t="n"/>
      <c r="D288" s="48" t="n"/>
      <c r="E288" s="48" t="n"/>
      <c r="F288" s="49" t="n"/>
      <c r="G288" s="49" t="n"/>
      <c r="H288" s="49" t="n"/>
      <c r="I288" s="49" t="n"/>
      <c r="J288" s="49" t="n"/>
      <c r="K288" s="49" t="n"/>
      <c r="L288" s="49" t="n"/>
      <c r="M288" s="49" t="n"/>
      <c r="N288" s="49" t="n"/>
      <c r="O288" s="49" t="n"/>
      <c r="P288" s="50" t="n"/>
      <c r="Q288" s="51" t="str">
        <f>IF(AND(ISNUMBER($F288),$F288&gt;0,ISNUMBER($G288)),$G288/$F288,"")</f>
        <v/>
      </c>
      <c r="R288" s="51" t="str">
        <f>IF(AND(ISNUMBER($F288),$F288&gt;0,ISNUMBER($H288)),$H288/$F288,"")</f>
        <v/>
      </c>
      <c r="S288" s="52" t="str">
        <f>IF(AND(ISNUMBER($J288),ISNUMBER($L288)),IF($L288&gt;0,$J288/$L288,""),"")</f>
        <v/>
      </c>
      <c r="T288" s="53" t="str">
        <f>IF(ISNUMBER($A288),YEAR($A288)&amp;"-"&amp;TEXT(MONTH($A288),"00"),"")</f>
        <v/>
      </c>
    </row>
    <row r="289">
      <c r="A289" s="47" t="n"/>
      <c r="B289" s="48" t="n"/>
      <c r="C289" s="48" t="n"/>
      <c r="D289" s="48" t="n"/>
      <c r="E289" s="48" t="n"/>
      <c r="F289" s="49" t="n"/>
      <c r="G289" s="49" t="n"/>
      <c r="H289" s="49" t="n"/>
      <c r="I289" s="49" t="n"/>
      <c r="J289" s="49" t="n"/>
      <c r="K289" s="49" t="n"/>
      <c r="L289" s="49" t="n"/>
      <c r="M289" s="49" t="n"/>
      <c r="N289" s="49" t="n"/>
      <c r="O289" s="49" t="n"/>
      <c r="P289" s="50" t="n"/>
      <c r="Q289" s="51" t="str">
        <f>IF(AND(ISNUMBER($F289),$F289&gt;0,ISNUMBER($G289)),$G289/$F289,"")</f>
        <v/>
      </c>
      <c r="R289" s="51" t="str">
        <f>IF(AND(ISNUMBER($F289),$F289&gt;0,ISNUMBER($H289)),$H289/$F289,"")</f>
        <v/>
      </c>
      <c r="S289" s="52" t="str">
        <f>IF(AND(ISNUMBER($J289),ISNUMBER($L289)),IF($L289&gt;0,$J289/$L289,""),"")</f>
        <v/>
      </c>
      <c r="T289" s="53" t="str">
        <f>IF(ISNUMBER($A289),YEAR($A289)&amp;"-"&amp;TEXT(MONTH($A289),"00"),"")</f>
        <v/>
      </c>
    </row>
    <row r="290">
      <c r="A290" s="47" t="n"/>
      <c r="B290" s="48" t="n"/>
      <c r="C290" s="48" t="n"/>
      <c r="D290" s="48" t="n"/>
      <c r="E290" s="48" t="n"/>
      <c r="F290" s="49" t="n"/>
      <c r="G290" s="49" t="n"/>
      <c r="H290" s="49" t="n"/>
      <c r="I290" s="49" t="n"/>
      <c r="J290" s="49" t="n"/>
      <c r="K290" s="49" t="n"/>
      <c r="L290" s="49" t="n"/>
      <c r="M290" s="49" t="n"/>
      <c r="N290" s="49" t="n"/>
      <c r="O290" s="49" t="n"/>
      <c r="P290" s="50" t="n"/>
      <c r="Q290" s="51" t="str">
        <f>IF(AND(ISNUMBER($F290),$F290&gt;0,ISNUMBER($G290)),$G290/$F290,"")</f>
        <v/>
      </c>
      <c r="R290" s="51" t="str">
        <f>IF(AND(ISNUMBER($F290),$F290&gt;0,ISNUMBER($H290)),$H290/$F290,"")</f>
        <v/>
      </c>
      <c r="S290" s="52" t="str">
        <f>IF(AND(ISNUMBER($J290),ISNUMBER($L290)),IF($L290&gt;0,$J290/$L290,""),"")</f>
        <v/>
      </c>
      <c r="T290" s="53" t="str">
        <f>IF(ISNUMBER($A290),YEAR($A290)&amp;"-"&amp;TEXT(MONTH($A290),"00"),"")</f>
        <v/>
      </c>
    </row>
    <row r="291">
      <c r="A291" s="47" t="n"/>
      <c r="B291" s="48" t="n"/>
      <c r="C291" s="48" t="n"/>
      <c r="D291" s="48" t="n"/>
      <c r="E291" s="48" t="n"/>
      <c r="F291" s="49" t="n"/>
      <c r="G291" s="49" t="n"/>
      <c r="H291" s="49" t="n"/>
      <c r="I291" s="49" t="n"/>
      <c r="J291" s="49" t="n"/>
      <c r="K291" s="49" t="n"/>
      <c r="L291" s="49" t="n"/>
      <c r="M291" s="49" t="n"/>
      <c r="N291" s="49" t="n"/>
      <c r="O291" s="49" t="n"/>
      <c r="P291" s="50" t="n"/>
      <c r="Q291" s="51" t="str">
        <f>IF(AND(ISNUMBER($F291),$F291&gt;0,ISNUMBER($G291)),$G291/$F291,"")</f>
        <v/>
      </c>
      <c r="R291" s="51" t="str">
        <f>IF(AND(ISNUMBER($F291),$F291&gt;0,ISNUMBER($H291)),$H291/$F291,"")</f>
        <v/>
      </c>
      <c r="S291" s="52" t="str">
        <f>IF(AND(ISNUMBER($J291),ISNUMBER($L291)),IF($L291&gt;0,$J291/$L291,""),"")</f>
        <v/>
      </c>
      <c r="T291" s="53" t="str">
        <f>IF(ISNUMBER($A291),YEAR($A291)&amp;"-"&amp;TEXT(MONTH($A291),"00"),"")</f>
        <v/>
      </c>
    </row>
    <row r="292">
      <c r="A292" s="47" t="n"/>
      <c r="B292" s="48" t="n"/>
      <c r="C292" s="48" t="n"/>
      <c r="D292" s="48" t="n"/>
      <c r="E292" s="48" t="n"/>
      <c r="F292" s="49" t="n"/>
      <c r="G292" s="49" t="n"/>
      <c r="H292" s="49" t="n"/>
      <c r="I292" s="49" t="n"/>
      <c r="J292" s="49" t="n"/>
      <c r="K292" s="49" t="n"/>
      <c r="L292" s="49" t="n"/>
      <c r="M292" s="49" t="n"/>
      <c r="N292" s="49" t="n"/>
      <c r="O292" s="49" t="n"/>
      <c r="P292" s="50" t="n"/>
      <c r="Q292" s="51" t="str">
        <f>IF(AND(ISNUMBER($F292),$F292&gt;0,ISNUMBER($G292)),$G292/$F292,"")</f>
        <v/>
      </c>
      <c r="R292" s="51" t="str">
        <f>IF(AND(ISNUMBER($F292),$F292&gt;0,ISNUMBER($H292)),$H292/$F292,"")</f>
        <v/>
      </c>
      <c r="S292" s="52" t="str">
        <f>IF(AND(ISNUMBER($J292),ISNUMBER($L292)),IF($L292&gt;0,$J292/$L292,""),"")</f>
        <v/>
      </c>
      <c r="T292" s="53" t="str">
        <f>IF(ISNUMBER($A292),YEAR($A292)&amp;"-"&amp;TEXT(MONTH($A292),"00"),"")</f>
        <v/>
      </c>
    </row>
    <row r="293">
      <c r="A293" s="47" t="n"/>
      <c r="B293" s="48" t="n"/>
      <c r="C293" s="48" t="n"/>
      <c r="D293" s="48" t="n"/>
      <c r="E293" s="48" t="n"/>
      <c r="F293" s="49" t="n"/>
      <c r="G293" s="49" t="n"/>
      <c r="H293" s="49" t="n"/>
      <c r="I293" s="49" t="n"/>
      <c r="J293" s="49" t="n"/>
      <c r="K293" s="49" t="n"/>
      <c r="L293" s="49" t="n"/>
      <c r="M293" s="49" t="n"/>
      <c r="N293" s="49" t="n"/>
      <c r="O293" s="49" t="n"/>
      <c r="P293" s="50" t="n"/>
      <c r="Q293" s="51" t="str">
        <f>IF(AND(ISNUMBER($F293),$F293&gt;0,ISNUMBER($G293)),$G293/$F293,"")</f>
        <v/>
      </c>
      <c r="R293" s="51" t="str">
        <f>IF(AND(ISNUMBER($F293),$F293&gt;0,ISNUMBER($H293)),$H293/$F293,"")</f>
        <v/>
      </c>
      <c r="S293" s="52" t="str">
        <f>IF(AND(ISNUMBER($J293),ISNUMBER($L293)),IF($L293&gt;0,$J293/$L293,""),"")</f>
        <v/>
      </c>
      <c r="T293" s="53" t="str">
        <f>IF(ISNUMBER($A293),YEAR($A293)&amp;"-"&amp;TEXT(MONTH($A293),"00"),"")</f>
        <v/>
      </c>
    </row>
    <row r="294">
      <c r="A294" s="47" t="n"/>
      <c r="B294" s="48" t="n"/>
      <c r="C294" s="48" t="n"/>
      <c r="D294" s="48" t="n"/>
      <c r="E294" s="48" t="n"/>
      <c r="F294" s="49" t="n"/>
      <c r="G294" s="49" t="n"/>
      <c r="H294" s="49" t="n"/>
      <c r="I294" s="49" t="n"/>
      <c r="J294" s="49" t="n"/>
      <c r="K294" s="49" t="n"/>
      <c r="L294" s="49" t="n"/>
      <c r="M294" s="49" t="n"/>
      <c r="N294" s="49" t="n"/>
      <c r="O294" s="49" t="n"/>
      <c r="P294" s="50" t="n"/>
      <c r="Q294" s="51" t="str">
        <f>IF(AND(ISNUMBER($F294),$F294&gt;0,ISNUMBER($G294)),$G294/$F294,"")</f>
        <v/>
      </c>
      <c r="R294" s="51" t="str">
        <f>IF(AND(ISNUMBER($F294),$F294&gt;0,ISNUMBER($H294)),$H294/$F294,"")</f>
        <v/>
      </c>
      <c r="S294" s="52" t="str">
        <f>IF(AND(ISNUMBER($J294),ISNUMBER($L294)),IF($L294&gt;0,$J294/$L294,""),"")</f>
        <v/>
      </c>
      <c r="T294" s="53" t="str">
        <f>IF(ISNUMBER($A294),YEAR($A294)&amp;"-"&amp;TEXT(MONTH($A294),"00"),"")</f>
        <v/>
      </c>
    </row>
    <row r="295">
      <c r="A295" s="47" t="n"/>
      <c r="B295" s="48" t="n"/>
      <c r="C295" s="48" t="n"/>
      <c r="D295" s="48" t="n"/>
      <c r="E295" s="48" t="n"/>
      <c r="F295" s="49" t="n"/>
      <c r="G295" s="49" t="n"/>
      <c r="H295" s="49" t="n"/>
      <c r="I295" s="49" t="n"/>
      <c r="J295" s="49" t="n"/>
      <c r="K295" s="49" t="n"/>
      <c r="L295" s="49" t="n"/>
      <c r="M295" s="49" t="n"/>
      <c r="N295" s="49" t="n"/>
      <c r="O295" s="49" t="n"/>
      <c r="P295" s="50" t="n"/>
      <c r="Q295" s="51" t="str">
        <f>IF(AND(ISNUMBER($F295),$F295&gt;0,ISNUMBER($G295)),$G295/$F295,"")</f>
        <v/>
      </c>
      <c r="R295" s="51" t="str">
        <f>IF(AND(ISNUMBER($F295),$F295&gt;0,ISNUMBER($H295)),$H295/$F295,"")</f>
        <v/>
      </c>
      <c r="S295" s="52" t="str">
        <f>IF(AND(ISNUMBER($J295),ISNUMBER($L295)),IF($L295&gt;0,$J295/$L295,""),"")</f>
        <v/>
      </c>
      <c r="T295" s="53" t="str">
        <f>IF(ISNUMBER($A295),YEAR($A295)&amp;"-"&amp;TEXT(MONTH($A295),"00"),"")</f>
        <v/>
      </c>
    </row>
    <row r="296">
      <c r="A296" s="47" t="n"/>
      <c r="B296" s="48" t="n"/>
      <c r="C296" s="48" t="n"/>
      <c r="D296" s="48" t="n"/>
      <c r="E296" s="48" t="n"/>
      <c r="F296" s="49" t="n"/>
      <c r="G296" s="49" t="n"/>
      <c r="H296" s="49" t="n"/>
      <c r="I296" s="49" t="n"/>
      <c r="J296" s="49" t="n"/>
      <c r="K296" s="49" t="n"/>
      <c r="L296" s="49" t="n"/>
      <c r="M296" s="49" t="n"/>
      <c r="N296" s="49" t="n"/>
      <c r="O296" s="49" t="n"/>
      <c r="P296" s="50" t="n"/>
      <c r="Q296" s="51" t="str">
        <f>IF(AND(ISNUMBER($F296),$F296&gt;0,ISNUMBER($G296)),$G296/$F296,"")</f>
        <v/>
      </c>
      <c r="R296" s="51" t="str">
        <f>IF(AND(ISNUMBER($F296),$F296&gt;0,ISNUMBER($H296)),$H296/$F296,"")</f>
        <v/>
      </c>
      <c r="S296" s="52" t="str">
        <f>IF(AND(ISNUMBER($J296),ISNUMBER($L296)),IF($L296&gt;0,$J296/$L296,""),"")</f>
        <v/>
      </c>
      <c r="T296" s="53" t="str">
        <f>IF(ISNUMBER($A296),YEAR($A296)&amp;"-"&amp;TEXT(MONTH($A296),"00"),"")</f>
        <v/>
      </c>
    </row>
    <row r="297">
      <c r="A297" s="47" t="n"/>
      <c r="B297" s="48" t="n"/>
      <c r="C297" s="48" t="n"/>
      <c r="D297" s="48" t="n"/>
      <c r="E297" s="48" t="n"/>
      <c r="F297" s="49" t="n"/>
      <c r="G297" s="49" t="n"/>
      <c r="H297" s="49" t="n"/>
      <c r="I297" s="49" t="n"/>
      <c r="J297" s="49" t="n"/>
      <c r="K297" s="49" t="n"/>
      <c r="L297" s="49" t="n"/>
      <c r="M297" s="49" t="n"/>
      <c r="N297" s="49" t="n"/>
      <c r="O297" s="49" t="n"/>
      <c r="P297" s="50" t="n"/>
      <c r="Q297" s="51" t="str">
        <f>IF(AND(ISNUMBER($F297),$F297&gt;0,ISNUMBER($G297)),$G297/$F297,"")</f>
        <v/>
      </c>
      <c r="R297" s="51" t="str">
        <f>IF(AND(ISNUMBER($F297),$F297&gt;0,ISNUMBER($H297)),$H297/$F297,"")</f>
        <v/>
      </c>
      <c r="S297" s="52" t="str">
        <f>IF(AND(ISNUMBER($J297),ISNUMBER($L297)),IF($L297&gt;0,$J297/$L297,""),"")</f>
        <v/>
      </c>
      <c r="T297" s="53" t="str">
        <f>IF(ISNUMBER($A297),YEAR($A297)&amp;"-"&amp;TEXT(MONTH($A297),"00"),"")</f>
        <v/>
      </c>
    </row>
    <row r="298">
      <c r="A298" s="47" t="n"/>
      <c r="B298" s="48" t="n"/>
      <c r="C298" s="48" t="n"/>
      <c r="D298" s="48" t="n"/>
      <c r="E298" s="48" t="n"/>
      <c r="F298" s="49" t="n"/>
      <c r="G298" s="49" t="n"/>
      <c r="H298" s="49" t="n"/>
      <c r="I298" s="49" t="n"/>
      <c r="J298" s="49" t="n"/>
      <c r="K298" s="49" t="n"/>
      <c r="L298" s="49" t="n"/>
      <c r="M298" s="49" t="n"/>
      <c r="N298" s="49" t="n"/>
      <c r="O298" s="49" t="n"/>
      <c r="P298" s="50" t="n"/>
      <c r="Q298" s="51" t="str">
        <f>IF(AND(ISNUMBER($F298),$F298&gt;0,ISNUMBER($G298)),$G298/$F298,"")</f>
        <v/>
      </c>
      <c r="R298" s="51" t="str">
        <f>IF(AND(ISNUMBER($F298),$F298&gt;0,ISNUMBER($H298)),$H298/$F298,"")</f>
        <v/>
      </c>
      <c r="S298" s="52" t="str">
        <f>IF(AND(ISNUMBER($J298),ISNUMBER($L298)),IF($L298&gt;0,$J298/$L298,""),"")</f>
        <v/>
      </c>
      <c r="T298" s="53" t="str">
        <f>IF(ISNUMBER($A298),YEAR($A298)&amp;"-"&amp;TEXT(MONTH($A298),"00"),"")</f>
        <v/>
      </c>
    </row>
    <row r="299">
      <c r="A299" s="47" t="n"/>
      <c r="B299" s="48" t="n"/>
      <c r="C299" s="48" t="n"/>
      <c r="D299" s="48" t="n"/>
      <c r="E299" s="48" t="n"/>
      <c r="F299" s="49" t="n"/>
      <c r="G299" s="49" t="n"/>
      <c r="H299" s="49" t="n"/>
      <c r="I299" s="49" t="n"/>
      <c r="J299" s="49" t="n"/>
      <c r="K299" s="49" t="n"/>
      <c r="L299" s="49" t="n"/>
      <c r="M299" s="49" t="n"/>
      <c r="N299" s="49" t="n"/>
      <c r="O299" s="49" t="n"/>
      <c r="P299" s="50" t="n"/>
      <c r="Q299" s="51" t="str">
        <f>IF(AND(ISNUMBER($F299),$F299&gt;0,ISNUMBER($G299)),$G299/$F299,"")</f>
        <v/>
      </c>
      <c r="R299" s="51" t="str">
        <f>IF(AND(ISNUMBER($F299),$F299&gt;0,ISNUMBER($H299)),$H299/$F299,"")</f>
        <v/>
      </c>
      <c r="S299" s="52" t="str">
        <f>IF(AND(ISNUMBER($J299),ISNUMBER($L299)),IF($L299&gt;0,$J299/$L299,""),"")</f>
        <v/>
      </c>
      <c r="T299" s="53" t="str">
        <f>IF(ISNUMBER($A299),YEAR($A299)&amp;"-"&amp;TEXT(MONTH($A299),"00"),"")</f>
        <v/>
      </c>
    </row>
    <row r="300">
      <c r="A300" s="47" t="n"/>
      <c r="B300" s="48" t="n"/>
      <c r="C300" s="48" t="n"/>
      <c r="D300" s="48" t="n"/>
      <c r="E300" s="48" t="n"/>
      <c r="F300" s="49" t="n"/>
      <c r="G300" s="49" t="n"/>
      <c r="H300" s="49" t="n"/>
      <c r="I300" s="49" t="n"/>
      <c r="J300" s="49" t="n"/>
      <c r="K300" s="49" t="n"/>
      <c r="L300" s="49" t="n"/>
      <c r="M300" s="49" t="n"/>
      <c r="N300" s="49" t="n"/>
      <c r="O300" s="49" t="n"/>
      <c r="P300" s="50" t="n"/>
      <c r="Q300" s="51" t="str">
        <f>IF(AND(ISNUMBER($F300),$F300&gt;0,ISNUMBER($G300)),$G300/$F300,"")</f>
        <v/>
      </c>
      <c r="R300" s="51" t="str">
        <f>IF(AND(ISNUMBER($F300),$F300&gt;0,ISNUMBER($H300)),$H300/$F300,"")</f>
        <v/>
      </c>
      <c r="S300" s="52" t="str">
        <f>IF(AND(ISNUMBER($J300),ISNUMBER($L300)),IF($L300&gt;0,$J300/$L300,""),"")</f>
        <v/>
      </c>
      <c r="T300" s="53" t="str">
        <f>IF(ISNUMBER($A300),YEAR($A300)&amp;"-"&amp;TEXT(MONTH($A300),"00"),"")</f>
        <v/>
      </c>
    </row>
    <row r="301">
      <c r="A301" s="47" t="n"/>
      <c r="B301" s="48" t="n"/>
      <c r="C301" s="48" t="n"/>
      <c r="D301" s="48" t="n"/>
      <c r="E301" s="48" t="n"/>
      <c r="F301" s="49" t="n"/>
      <c r="G301" s="49" t="n"/>
      <c r="H301" s="49" t="n"/>
      <c r="I301" s="49" t="n"/>
      <c r="J301" s="49" t="n"/>
      <c r="K301" s="49" t="n"/>
      <c r="L301" s="49" t="n"/>
      <c r="M301" s="49" t="n"/>
      <c r="N301" s="49" t="n"/>
      <c r="O301" s="49" t="n"/>
      <c r="P301" s="50" t="n"/>
      <c r="Q301" s="51" t="str">
        <f>IF(AND(ISNUMBER($F301),$F301&gt;0,ISNUMBER($G301)),$G301/$F301,"")</f>
        <v/>
      </c>
      <c r="R301" s="51" t="str">
        <f>IF(AND(ISNUMBER($F301),$F301&gt;0,ISNUMBER($H301)),$H301/$F301,"")</f>
        <v/>
      </c>
      <c r="S301" s="52" t="str">
        <f>IF(AND(ISNUMBER($J301),ISNUMBER($L301)),IF($L301&gt;0,$J301/$L301,""),"")</f>
        <v/>
      </c>
      <c r="T301" s="53" t="str">
        <f>IF(ISNUMBER($A301),YEAR($A301)&amp;"-"&amp;TEXT(MONTH($A301),"00"),"")</f>
        <v/>
      </c>
    </row>
    <row r="302">
      <c r="A302" s="47" t="n"/>
      <c r="B302" s="48" t="n"/>
      <c r="C302" s="48" t="n"/>
      <c r="D302" s="48" t="n"/>
      <c r="E302" s="48" t="n"/>
      <c r="F302" s="49" t="n"/>
      <c r="G302" s="49" t="n"/>
      <c r="H302" s="49" t="n"/>
      <c r="I302" s="49" t="n"/>
      <c r="J302" s="49" t="n"/>
      <c r="K302" s="49" t="n"/>
      <c r="L302" s="49" t="n"/>
      <c r="M302" s="49" t="n"/>
      <c r="N302" s="49" t="n"/>
      <c r="O302" s="49" t="n"/>
      <c r="P302" s="50" t="n"/>
      <c r="Q302" s="51" t="str">
        <f>IF(AND(ISNUMBER($F302),$F302&gt;0,ISNUMBER($G302)),$G302/$F302,"")</f>
        <v/>
      </c>
      <c r="R302" s="51" t="str">
        <f>IF(AND(ISNUMBER($F302),$F302&gt;0,ISNUMBER($H302)),$H302/$F302,"")</f>
        <v/>
      </c>
      <c r="S302" s="52" t="str">
        <f>IF(AND(ISNUMBER($J302),ISNUMBER($L302)),IF($L302&gt;0,$J302/$L302,""),"")</f>
        <v/>
      </c>
      <c r="T302" s="53" t="str">
        <f>IF(ISNUMBER($A302),YEAR($A302)&amp;"-"&amp;TEXT(MONTH($A302),"00"),"")</f>
        <v/>
      </c>
    </row>
    <row r="303">
      <c r="A303" s="47" t="n"/>
      <c r="B303" s="48" t="n"/>
      <c r="C303" s="48" t="n"/>
      <c r="D303" s="48" t="n"/>
      <c r="E303" s="48" t="n"/>
      <c r="F303" s="49" t="n"/>
      <c r="G303" s="49" t="n"/>
      <c r="H303" s="49" t="n"/>
      <c r="I303" s="49" t="n"/>
      <c r="J303" s="49" t="n"/>
      <c r="K303" s="49" t="n"/>
      <c r="L303" s="49" t="n"/>
      <c r="M303" s="49" t="n"/>
      <c r="N303" s="49" t="n"/>
      <c r="O303" s="49" t="n"/>
      <c r="P303" s="50" t="n"/>
      <c r="Q303" s="51" t="str">
        <f>IF(AND(ISNUMBER($F303),$F303&gt;0,ISNUMBER($G303)),$G303/$F303,"")</f>
        <v/>
      </c>
      <c r="R303" s="51" t="str">
        <f>IF(AND(ISNUMBER($F303),$F303&gt;0,ISNUMBER($H303)),$H303/$F303,"")</f>
        <v/>
      </c>
      <c r="S303" s="52" t="str">
        <f>IF(AND(ISNUMBER($J303),ISNUMBER($L303)),IF($L303&gt;0,$J303/$L303,""),"")</f>
        <v/>
      </c>
      <c r="T303" s="53" t="str">
        <f>IF(ISNUMBER($A303),YEAR($A303)&amp;"-"&amp;TEXT(MONTH($A303),"00"),"")</f>
        <v/>
      </c>
    </row>
    <row r="304">
      <c r="A304" s="47" t="n"/>
      <c r="B304" s="48" t="n"/>
      <c r="C304" s="48" t="n"/>
      <c r="D304" s="48" t="n"/>
      <c r="E304" s="48" t="n"/>
      <c r="F304" s="49" t="n"/>
      <c r="G304" s="49" t="n"/>
      <c r="H304" s="49" t="n"/>
      <c r="I304" s="49" t="n"/>
      <c r="J304" s="49" t="n"/>
      <c r="K304" s="49" t="n"/>
      <c r="L304" s="49" t="n"/>
      <c r="M304" s="49" t="n"/>
      <c r="N304" s="49" t="n"/>
      <c r="O304" s="49" t="n"/>
      <c r="P304" s="50" t="n"/>
      <c r="Q304" s="51" t="str">
        <f>IF(AND(ISNUMBER($F304),$F304&gt;0,ISNUMBER($G304)),$G304/$F304,"")</f>
        <v/>
      </c>
      <c r="R304" s="51" t="str">
        <f>IF(AND(ISNUMBER($F304),$F304&gt;0,ISNUMBER($H304)),$H304/$F304,"")</f>
        <v/>
      </c>
      <c r="S304" s="52" t="str">
        <f>IF(AND(ISNUMBER($J304),ISNUMBER($L304)),IF($L304&gt;0,$J304/$L304,""),"")</f>
        <v/>
      </c>
      <c r="T304" s="53" t="str">
        <f>IF(ISNUMBER($A304),YEAR($A304)&amp;"-"&amp;TEXT(MONTH($A304),"00"),"")</f>
        <v/>
      </c>
    </row>
    <row r="305">
      <c r="A305" s="47" t="n"/>
      <c r="B305" s="48" t="n"/>
      <c r="C305" s="48" t="n"/>
      <c r="D305" s="48" t="n"/>
      <c r="E305" s="48" t="n"/>
      <c r="F305" s="49" t="n"/>
      <c r="G305" s="49" t="n"/>
      <c r="H305" s="49" t="n"/>
      <c r="I305" s="49" t="n"/>
      <c r="J305" s="49" t="n"/>
      <c r="K305" s="49" t="n"/>
      <c r="L305" s="49" t="n"/>
      <c r="M305" s="49" t="n"/>
      <c r="N305" s="49" t="n"/>
      <c r="O305" s="49" t="n"/>
      <c r="P305" s="50" t="n"/>
      <c r="Q305" s="51" t="str">
        <f>IF(AND(ISNUMBER($F305),$F305&gt;0,ISNUMBER($G305)),$G305/$F305,"")</f>
        <v/>
      </c>
      <c r="R305" s="51" t="str">
        <f>IF(AND(ISNUMBER($F305),$F305&gt;0,ISNUMBER($H305)),$H305/$F305,"")</f>
        <v/>
      </c>
      <c r="S305" s="52" t="str">
        <f>IF(AND(ISNUMBER($J305),ISNUMBER($L305)),IF($L305&gt;0,$J305/$L305,""),"")</f>
        <v/>
      </c>
      <c r="T305" s="53" t="str">
        <f>IF(ISNUMBER($A305),YEAR($A305)&amp;"-"&amp;TEXT(MONTH($A305),"00"),"")</f>
        <v/>
      </c>
    </row>
    <row r="306">
      <c r="A306" s="47" t="n"/>
      <c r="B306" s="48" t="n"/>
      <c r="C306" s="48" t="n"/>
      <c r="D306" s="48" t="n"/>
      <c r="E306" s="48" t="n"/>
      <c r="F306" s="49" t="n"/>
      <c r="G306" s="49" t="n"/>
      <c r="H306" s="49" t="n"/>
      <c r="I306" s="49" t="n"/>
      <c r="J306" s="49" t="n"/>
      <c r="K306" s="49" t="n"/>
      <c r="L306" s="49" t="n"/>
      <c r="M306" s="49" t="n"/>
      <c r="N306" s="49" t="n"/>
      <c r="O306" s="49" t="n"/>
      <c r="P306" s="50" t="n"/>
      <c r="Q306" s="51" t="str">
        <f>IF(AND(ISNUMBER($F306),$F306&gt;0,ISNUMBER($G306)),$G306/$F306,"")</f>
        <v/>
      </c>
      <c r="R306" s="51" t="str">
        <f>IF(AND(ISNUMBER($F306),$F306&gt;0,ISNUMBER($H306)),$H306/$F306,"")</f>
        <v/>
      </c>
      <c r="S306" s="52" t="str">
        <f>IF(AND(ISNUMBER($J306),ISNUMBER($L306)),IF($L306&gt;0,$J306/$L306,""),"")</f>
        <v/>
      </c>
      <c r="T306" s="53" t="str">
        <f>IF(ISNUMBER($A306),YEAR($A306)&amp;"-"&amp;TEXT(MONTH($A306),"00"),"")</f>
        <v/>
      </c>
    </row>
    <row r="307">
      <c r="A307" s="47" t="n"/>
      <c r="B307" s="48" t="n"/>
      <c r="C307" s="48" t="n"/>
      <c r="D307" s="48" t="n"/>
      <c r="E307" s="48" t="n"/>
      <c r="F307" s="49" t="n"/>
      <c r="G307" s="49" t="n"/>
      <c r="H307" s="49" t="n"/>
      <c r="I307" s="49" t="n"/>
      <c r="J307" s="49" t="n"/>
      <c r="K307" s="49" t="n"/>
      <c r="L307" s="49" t="n"/>
      <c r="M307" s="49" t="n"/>
      <c r="N307" s="49" t="n"/>
      <c r="O307" s="49" t="n"/>
      <c r="P307" s="50" t="n"/>
      <c r="Q307" s="51" t="str">
        <f>IF(AND(ISNUMBER($F307),$F307&gt;0,ISNUMBER($G307)),$G307/$F307,"")</f>
        <v/>
      </c>
      <c r="R307" s="51" t="str">
        <f>IF(AND(ISNUMBER($F307),$F307&gt;0,ISNUMBER($H307)),$H307/$F307,"")</f>
        <v/>
      </c>
      <c r="S307" s="52" t="str">
        <f>IF(AND(ISNUMBER($J307),ISNUMBER($L307)),IF($L307&gt;0,$J307/$L307,""),"")</f>
        <v/>
      </c>
      <c r="T307" s="53" t="str">
        <f>IF(ISNUMBER($A307),YEAR($A307)&amp;"-"&amp;TEXT(MONTH($A307),"00"),"")</f>
        <v/>
      </c>
    </row>
    <row r="308">
      <c r="A308" s="47" t="n"/>
      <c r="B308" s="48" t="n"/>
      <c r="C308" s="48" t="n"/>
      <c r="D308" s="48" t="n"/>
      <c r="E308" s="48" t="n"/>
      <c r="F308" s="49" t="n"/>
      <c r="G308" s="49" t="n"/>
      <c r="H308" s="49" t="n"/>
      <c r="I308" s="49" t="n"/>
      <c r="J308" s="49" t="n"/>
      <c r="K308" s="49" t="n"/>
      <c r="L308" s="49" t="n"/>
      <c r="M308" s="49" t="n"/>
      <c r="N308" s="49" t="n"/>
      <c r="O308" s="49" t="n"/>
      <c r="P308" s="50" t="n"/>
      <c r="Q308" s="51" t="str">
        <f>IF(AND(ISNUMBER($F308),$F308&gt;0,ISNUMBER($G308)),$G308/$F308,"")</f>
        <v/>
      </c>
      <c r="R308" s="51" t="str">
        <f>IF(AND(ISNUMBER($F308),$F308&gt;0,ISNUMBER($H308)),$H308/$F308,"")</f>
        <v/>
      </c>
      <c r="S308" s="52" t="str">
        <f>IF(AND(ISNUMBER($J308),ISNUMBER($L308)),IF($L308&gt;0,$J308/$L308,""),"")</f>
        <v/>
      </c>
      <c r="T308" s="53" t="str">
        <f>IF(ISNUMBER($A308),YEAR($A308)&amp;"-"&amp;TEXT(MONTH($A308),"00"),"")</f>
        <v/>
      </c>
    </row>
    <row r="309">
      <c r="A309" s="47" t="n"/>
      <c r="B309" s="48" t="n"/>
      <c r="C309" s="48" t="n"/>
      <c r="D309" s="48" t="n"/>
      <c r="E309" s="48" t="n"/>
      <c r="F309" s="49" t="n"/>
      <c r="G309" s="49" t="n"/>
      <c r="H309" s="49" t="n"/>
      <c r="I309" s="49" t="n"/>
      <c r="J309" s="49" t="n"/>
      <c r="K309" s="49" t="n"/>
      <c r="L309" s="49" t="n"/>
      <c r="M309" s="49" t="n"/>
      <c r="N309" s="49" t="n"/>
      <c r="O309" s="49" t="n"/>
      <c r="P309" s="50" t="n"/>
      <c r="Q309" s="51" t="str">
        <f>IF(AND(ISNUMBER($F309),$F309&gt;0,ISNUMBER($G309)),$G309/$F309,"")</f>
        <v/>
      </c>
      <c r="R309" s="51" t="str">
        <f>IF(AND(ISNUMBER($F309),$F309&gt;0,ISNUMBER($H309)),$H309/$F309,"")</f>
        <v/>
      </c>
      <c r="S309" s="52" t="str">
        <f>IF(AND(ISNUMBER($J309),ISNUMBER($L309)),IF($L309&gt;0,$J309/$L309,""),"")</f>
        <v/>
      </c>
      <c r="T309" s="53" t="str">
        <f>IF(ISNUMBER($A309),YEAR($A309)&amp;"-"&amp;TEXT(MONTH($A309),"00"),"")</f>
        <v/>
      </c>
    </row>
    <row r="310">
      <c r="A310" s="47" t="n"/>
      <c r="B310" s="48" t="n"/>
      <c r="C310" s="48" t="n"/>
      <c r="D310" s="48" t="n"/>
      <c r="E310" s="48" t="n"/>
      <c r="F310" s="49" t="n"/>
      <c r="G310" s="49" t="n"/>
      <c r="H310" s="49" t="n"/>
      <c r="I310" s="49" t="n"/>
      <c r="J310" s="49" t="n"/>
      <c r="K310" s="49" t="n"/>
      <c r="L310" s="49" t="n"/>
      <c r="M310" s="49" t="n"/>
      <c r="N310" s="49" t="n"/>
      <c r="O310" s="49" t="n"/>
      <c r="P310" s="50" t="n"/>
      <c r="Q310" s="51" t="str">
        <f>IF(AND(ISNUMBER($F310),$F310&gt;0,ISNUMBER($G310)),$G310/$F310,"")</f>
        <v/>
      </c>
      <c r="R310" s="51" t="str">
        <f>IF(AND(ISNUMBER($F310),$F310&gt;0,ISNUMBER($H310)),$H310/$F310,"")</f>
        <v/>
      </c>
      <c r="S310" s="52" t="str">
        <f>IF(AND(ISNUMBER($J310),ISNUMBER($L310)),IF($L310&gt;0,$J310/$L310,""),"")</f>
        <v/>
      </c>
      <c r="T310" s="53" t="str">
        <f>IF(ISNUMBER($A310),YEAR($A310)&amp;"-"&amp;TEXT(MONTH($A310),"00"),"")</f>
        <v/>
      </c>
    </row>
    <row r="311">
      <c r="A311" s="47" t="n"/>
      <c r="B311" s="48" t="n"/>
      <c r="C311" s="48" t="n"/>
      <c r="D311" s="48" t="n"/>
      <c r="E311" s="48" t="n"/>
      <c r="F311" s="49" t="n"/>
      <c r="G311" s="49" t="n"/>
      <c r="H311" s="49" t="n"/>
      <c r="I311" s="49" t="n"/>
      <c r="J311" s="49" t="n"/>
      <c r="K311" s="49" t="n"/>
      <c r="L311" s="49" t="n"/>
      <c r="M311" s="49" t="n"/>
      <c r="N311" s="49" t="n"/>
      <c r="O311" s="49" t="n"/>
      <c r="P311" s="50" t="n"/>
      <c r="Q311" s="51" t="str">
        <f>IF(AND(ISNUMBER($F311),$F311&gt;0,ISNUMBER($G311)),$G311/$F311,"")</f>
        <v/>
      </c>
      <c r="R311" s="51" t="str">
        <f>IF(AND(ISNUMBER($F311),$F311&gt;0,ISNUMBER($H311)),$H311/$F311,"")</f>
        <v/>
      </c>
      <c r="S311" s="52" t="str">
        <f>IF(AND(ISNUMBER($J311),ISNUMBER($L311)),IF($L311&gt;0,$J311/$L311,""),"")</f>
        <v/>
      </c>
      <c r="T311" s="53" t="str">
        <f>IF(ISNUMBER($A311),YEAR($A311)&amp;"-"&amp;TEXT(MONTH($A311),"00"),"")</f>
        <v/>
      </c>
    </row>
    <row r="312">
      <c r="A312" s="47" t="n"/>
      <c r="B312" s="48" t="n"/>
      <c r="C312" s="48" t="n"/>
      <c r="D312" s="48" t="n"/>
      <c r="E312" s="48" t="n"/>
      <c r="F312" s="49" t="n"/>
      <c r="G312" s="49" t="n"/>
      <c r="H312" s="49" t="n"/>
      <c r="I312" s="49" t="n"/>
      <c r="J312" s="49" t="n"/>
      <c r="K312" s="49" t="n"/>
      <c r="L312" s="49" t="n"/>
      <c r="M312" s="49" t="n"/>
      <c r="N312" s="49" t="n"/>
      <c r="O312" s="49" t="n"/>
      <c r="P312" s="50" t="n"/>
      <c r="Q312" s="51" t="str">
        <f>IF(AND(ISNUMBER($F312),$F312&gt;0,ISNUMBER($G312)),$G312/$F312,"")</f>
        <v/>
      </c>
      <c r="R312" s="51" t="str">
        <f>IF(AND(ISNUMBER($F312),$F312&gt;0,ISNUMBER($H312)),$H312/$F312,"")</f>
        <v/>
      </c>
      <c r="S312" s="52" t="str">
        <f>IF(AND(ISNUMBER($J312),ISNUMBER($L312)),IF($L312&gt;0,$J312/$L312,""),"")</f>
        <v/>
      </c>
      <c r="T312" s="53" t="str">
        <f>IF(ISNUMBER($A312),YEAR($A312)&amp;"-"&amp;TEXT(MONTH($A312),"00"),"")</f>
        <v/>
      </c>
    </row>
    <row r="313">
      <c r="A313" s="47" t="n"/>
      <c r="B313" s="48" t="n"/>
      <c r="C313" s="48" t="n"/>
      <c r="D313" s="48" t="n"/>
      <c r="E313" s="48" t="n"/>
      <c r="F313" s="49" t="n"/>
      <c r="G313" s="49" t="n"/>
      <c r="H313" s="49" t="n"/>
      <c r="I313" s="49" t="n"/>
      <c r="J313" s="49" t="n"/>
      <c r="K313" s="49" t="n"/>
      <c r="L313" s="49" t="n"/>
      <c r="M313" s="49" t="n"/>
      <c r="N313" s="49" t="n"/>
      <c r="O313" s="49" t="n"/>
      <c r="P313" s="50" t="n"/>
      <c r="Q313" s="51" t="str">
        <f>IF(AND(ISNUMBER($F313),$F313&gt;0,ISNUMBER($G313)),$G313/$F313,"")</f>
        <v/>
      </c>
      <c r="R313" s="51" t="str">
        <f>IF(AND(ISNUMBER($F313),$F313&gt;0,ISNUMBER($H313)),$H313/$F313,"")</f>
        <v/>
      </c>
      <c r="S313" s="52" t="str">
        <f>IF(AND(ISNUMBER($J313),ISNUMBER($L313)),IF($L313&gt;0,$J313/$L313,""),"")</f>
        <v/>
      </c>
      <c r="T313" s="53" t="str">
        <f>IF(ISNUMBER($A313),YEAR($A313)&amp;"-"&amp;TEXT(MONTH($A313),"00"),"")</f>
        <v/>
      </c>
    </row>
    <row r="314">
      <c r="A314" s="47" t="n"/>
      <c r="B314" s="48" t="n"/>
      <c r="C314" s="48" t="n"/>
      <c r="D314" s="48" t="n"/>
      <c r="E314" s="48" t="n"/>
      <c r="F314" s="49" t="n"/>
      <c r="G314" s="49" t="n"/>
      <c r="H314" s="49" t="n"/>
      <c r="I314" s="49" t="n"/>
      <c r="J314" s="49" t="n"/>
      <c r="K314" s="49" t="n"/>
      <c r="L314" s="49" t="n"/>
      <c r="M314" s="49" t="n"/>
      <c r="N314" s="49" t="n"/>
      <c r="O314" s="49" t="n"/>
      <c r="P314" s="50" t="n"/>
      <c r="Q314" s="51" t="str">
        <f>IF(AND(ISNUMBER($F314),$F314&gt;0,ISNUMBER($G314)),$G314/$F314,"")</f>
        <v/>
      </c>
      <c r="R314" s="51" t="str">
        <f>IF(AND(ISNUMBER($F314),$F314&gt;0,ISNUMBER($H314)),$H314/$F314,"")</f>
        <v/>
      </c>
      <c r="S314" s="52" t="str">
        <f>IF(AND(ISNUMBER($J314),ISNUMBER($L314)),IF($L314&gt;0,$J314/$L314,""),"")</f>
        <v/>
      </c>
      <c r="T314" s="53" t="str">
        <f>IF(ISNUMBER($A314),YEAR($A314)&amp;"-"&amp;TEXT(MONTH($A314),"00"),"")</f>
        <v/>
      </c>
    </row>
    <row r="315">
      <c r="A315" s="47" t="n"/>
      <c r="B315" s="48" t="n"/>
      <c r="C315" s="48" t="n"/>
      <c r="D315" s="48" t="n"/>
      <c r="E315" s="48" t="n"/>
      <c r="F315" s="49" t="n"/>
      <c r="G315" s="49" t="n"/>
      <c r="H315" s="49" t="n"/>
      <c r="I315" s="49" t="n"/>
      <c r="J315" s="49" t="n"/>
      <c r="K315" s="49" t="n"/>
      <c r="L315" s="49" t="n"/>
      <c r="M315" s="49" t="n"/>
      <c r="N315" s="49" t="n"/>
      <c r="O315" s="49" t="n"/>
      <c r="P315" s="50" t="n"/>
      <c r="Q315" s="51" t="str">
        <f>IF(AND(ISNUMBER($F315),$F315&gt;0,ISNUMBER($G315)),$G315/$F315,"")</f>
        <v/>
      </c>
      <c r="R315" s="51" t="str">
        <f>IF(AND(ISNUMBER($F315),$F315&gt;0,ISNUMBER($H315)),$H315/$F315,"")</f>
        <v/>
      </c>
      <c r="S315" s="52" t="str">
        <f>IF(AND(ISNUMBER($J315),ISNUMBER($L315)),IF($L315&gt;0,$J315/$L315,""),"")</f>
        <v/>
      </c>
      <c r="T315" s="53" t="str">
        <f>IF(ISNUMBER($A315),YEAR($A315)&amp;"-"&amp;TEXT(MONTH($A315),"00"),"")</f>
        <v/>
      </c>
    </row>
    <row r="316">
      <c r="A316" s="47" t="n"/>
      <c r="B316" s="48" t="n"/>
      <c r="C316" s="48" t="n"/>
      <c r="D316" s="48" t="n"/>
      <c r="E316" s="48" t="n"/>
      <c r="F316" s="49" t="n"/>
      <c r="G316" s="49" t="n"/>
      <c r="H316" s="49" t="n"/>
      <c r="I316" s="49" t="n"/>
      <c r="J316" s="49" t="n"/>
      <c r="K316" s="49" t="n"/>
      <c r="L316" s="49" t="n"/>
      <c r="M316" s="49" t="n"/>
      <c r="N316" s="49" t="n"/>
      <c r="O316" s="49" t="n"/>
      <c r="P316" s="50" t="n"/>
      <c r="Q316" s="51" t="str">
        <f>IF(AND(ISNUMBER($F316),$F316&gt;0,ISNUMBER($G316)),$G316/$F316,"")</f>
        <v/>
      </c>
      <c r="R316" s="51" t="str">
        <f>IF(AND(ISNUMBER($F316),$F316&gt;0,ISNUMBER($H316)),$H316/$F316,"")</f>
        <v/>
      </c>
      <c r="S316" s="52" t="str">
        <f>IF(AND(ISNUMBER($J316),ISNUMBER($L316)),IF($L316&gt;0,$J316/$L316,""),"")</f>
        <v/>
      </c>
      <c r="T316" s="53" t="str">
        <f>IF(ISNUMBER($A316),YEAR($A316)&amp;"-"&amp;TEXT(MONTH($A316),"00"),"")</f>
        <v/>
      </c>
    </row>
    <row r="317">
      <c r="A317" s="47" t="n"/>
      <c r="B317" s="48" t="n"/>
      <c r="C317" s="48" t="n"/>
      <c r="D317" s="48" t="n"/>
      <c r="E317" s="48" t="n"/>
      <c r="F317" s="49" t="n"/>
      <c r="G317" s="49" t="n"/>
      <c r="H317" s="49" t="n"/>
      <c r="I317" s="49" t="n"/>
      <c r="J317" s="49" t="n"/>
      <c r="K317" s="49" t="n"/>
      <c r="L317" s="49" t="n"/>
      <c r="M317" s="49" t="n"/>
      <c r="N317" s="49" t="n"/>
      <c r="O317" s="49" t="n"/>
      <c r="P317" s="50" t="n"/>
      <c r="Q317" s="51" t="str">
        <f>IF(AND(ISNUMBER($F317),$F317&gt;0,ISNUMBER($G317)),$G317/$F317,"")</f>
        <v/>
      </c>
      <c r="R317" s="51" t="str">
        <f>IF(AND(ISNUMBER($F317),$F317&gt;0,ISNUMBER($H317)),$H317/$F317,"")</f>
        <v/>
      </c>
      <c r="S317" s="52" t="str">
        <f>IF(AND(ISNUMBER($J317),ISNUMBER($L317)),IF($L317&gt;0,$J317/$L317,""),"")</f>
        <v/>
      </c>
      <c r="T317" s="53" t="str">
        <f>IF(ISNUMBER($A317),YEAR($A317)&amp;"-"&amp;TEXT(MONTH($A317),"00"),"")</f>
        <v/>
      </c>
    </row>
    <row r="318">
      <c r="A318" s="47" t="n"/>
      <c r="B318" s="48" t="n"/>
      <c r="C318" s="48" t="n"/>
      <c r="D318" s="48" t="n"/>
      <c r="E318" s="48" t="n"/>
      <c r="F318" s="49" t="n"/>
      <c r="G318" s="49" t="n"/>
      <c r="H318" s="49" t="n"/>
      <c r="I318" s="49" t="n"/>
      <c r="J318" s="49" t="n"/>
      <c r="K318" s="49" t="n"/>
      <c r="L318" s="49" t="n"/>
      <c r="M318" s="49" t="n"/>
      <c r="N318" s="49" t="n"/>
      <c r="O318" s="49" t="n"/>
      <c r="P318" s="50" t="n"/>
      <c r="Q318" s="51" t="str">
        <f>IF(AND(ISNUMBER($F318),$F318&gt;0,ISNUMBER($G318)),$G318/$F318,"")</f>
        <v/>
      </c>
      <c r="R318" s="51" t="str">
        <f>IF(AND(ISNUMBER($F318),$F318&gt;0,ISNUMBER($H318)),$H318/$F318,"")</f>
        <v/>
      </c>
      <c r="S318" s="52" t="str">
        <f>IF(AND(ISNUMBER($J318),ISNUMBER($L318)),IF($L318&gt;0,$J318/$L318,""),"")</f>
        <v/>
      </c>
      <c r="T318" s="53" t="str">
        <f>IF(ISNUMBER($A318),YEAR($A318)&amp;"-"&amp;TEXT(MONTH($A318),"00"),"")</f>
        <v/>
      </c>
    </row>
    <row r="319">
      <c r="A319" s="47" t="n"/>
      <c r="B319" s="48" t="n"/>
      <c r="C319" s="48" t="n"/>
      <c r="D319" s="48" t="n"/>
      <c r="E319" s="48" t="n"/>
      <c r="F319" s="49" t="n"/>
      <c r="G319" s="49" t="n"/>
      <c r="H319" s="49" t="n"/>
      <c r="I319" s="49" t="n"/>
      <c r="J319" s="49" t="n"/>
      <c r="K319" s="49" t="n"/>
      <c r="L319" s="49" t="n"/>
      <c r="M319" s="49" t="n"/>
      <c r="N319" s="49" t="n"/>
      <c r="O319" s="49" t="n"/>
      <c r="P319" s="50" t="n"/>
      <c r="Q319" s="51" t="str">
        <f>IF(AND(ISNUMBER($F319),$F319&gt;0,ISNUMBER($G319)),$G319/$F319,"")</f>
        <v/>
      </c>
      <c r="R319" s="51" t="str">
        <f>IF(AND(ISNUMBER($F319),$F319&gt;0,ISNUMBER($H319)),$H319/$F319,"")</f>
        <v/>
      </c>
      <c r="S319" s="52" t="str">
        <f>IF(AND(ISNUMBER($J319),ISNUMBER($L319)),IF($L319&gt;0,$J319/$L319,""),"")</f>
        <v/>
      </c>
      <c r="T319" s="53" t="str">
        <f>IF(ISNUMBER($A319),YEAR($A319)&amp;"-"&amp;TEXT(MONTH($A319),"00"),"")</f>
        <v/>
      </c>
    </row>
    <row r="320">
      <c r="A320" s="47" t="n"/>
      <c r="B320" s="48" t="n"/>
      <c r="C320" s="48" t="n"/>
      <c r="D320" s="48" t="n"/>
      <c r="E320" s="48" t="n"/>
      <c r="F320" s="49" t="n"/>
      <c r="G320" s="49" t="n"/>
      <c r="H320" s="49" t="n"/>
      <c r="I320" s="49" t="n"/>
      <c r="J320" s="49" t="n"/>
      <c r="K320" s="49" t="n"/>
      <c r="L320" s="49" t="n"/>
      <c r="M320" s="49" t="n"/>
      <c r="N320" s="49" t="n"/>
      <c r="O320" s="49" t="n"/>
      <c r="P320" s="50" t="n"/>
      <c r="Q320" s="51" t="str">
        <f>IF(AND(ISNUMBER($F320),$F320&gt;0,ISNUMBER($G320)),$G320/$F320,"")</f>
        <v/>
      </c>
      <c r="R320" s="51" t="str">
        <f>IF(AND(ISNUMBER($F320),$F320&gt;0,ISNUMBER($H320)),$H320/$F320,"")</f>
        <v/>
      </c>
      <c r="S320" s="52" t="str">
        <f>IF(AND(ISNUMBER($J320),ISNUMBER($L320)),IF($L320&gt;0,$J320/$L320,""),"")</f>
        <v/>
      </c>
      <c r="T320" s="53" t="str">
        <f>IF(ISNUMBER($A320),YEAR($A320)&amp;"-"&amp;TEXT(MONTH($A320),"00"),"")</f>
        <v/>
      </c>
    </row>
    <row r="321">
      <c r="A321" s="47" t="n"/>
      <c r="B321" s="48" t="n"/>
      <c r="C321" s="48" t="n"/>
      <c r="D321" s="48" t="n"/>
      <c r="E321" s="48" t="n"/>
      <c r="F321" s="49" t="n"/>
      <c r="G321" s="49" t="n"/>
      <c r="H321" s="49" t="n"/>
      <c r="I321" s="49" t="n"/>
      <c r="J321" s="49" t="n"/>
      <c r="K321" s="49" t="n"/>
      <c r="L321" s="49" t="n"/>
      <c r="M321" s="49" t="n"/>
      <c r="N321" s="49" t="n"/>
      <c r="O321" s="49" t="n"/>
      <c r="P321" s="50" t="n"/>
      <c r="Q321" s="51" t="str">
        <f>IF(AND(ISNUMBER($F321),$F321&gt;0,ISNUMBER($G321)),$G321/$F321,"")</f>
        <v/>
      </c>
      <c r="R321" s="51" t="str">
        <f>IF(AND(ISNUMBER($F321),$F321&gt;0,ISNUMBER($H321)),$H321/$F321,"")</f>
        <v/>
      </c>
      <c r="S321" s="52" t="str">
        <f>IF(AND(ISNUMBER($J321),ISNUMBER($L321)),IF($L321&gt;0,$J321/$L321,""),"")</f>
        <v/>
      </c>
      <c r="T321" s="53" t="str">
        <f>IF(ISNUMBER($A321),YEAR($A321)&amp;"-"&amp;TEXT(MONTH($A321),"00"),"")</f>
        <v/>
      </c>
    </row>
    <row r="322">
      <c r="A322" s="47" t="n"/>
      <c r="B322" s="48" t="n"/>
      <c r="C322" s="48" t="n"/>
      <c r="D322" s="48" t="n"/>
      <c r="E322" s="48" t="n"/>
      <c r="F322" s="49" t="n"/>
      <c r="G322" s="49" t="n"/>
      <c r="H322" s="49" t="n"/>
      <c r="I322" s="49" t="n"/>
      <c r="J322" s="49" t="n"/>
      <c r="K322" s="49" t="n"/>
      <c r="L322" s="49" t="n"/>
      <c r="M322" s="49" t="n"/>
      <c r="N322" s="49" t="n"/>
      <c r="O322" s="49" t="n"/>
      <c r="P322" s="50" t="n"/>
      <c r="Q322" s="51" t="str">
        <f>IF(AND(ISNUMBER($F322),$F322&gt;0,ISNUMBER($G322)),$G322/$F322,"")</f>
        <v/>
      </c>
      <c r="R322" s="51" t="str">
        <f>IF(AND(ISNUMBER($F322),$F322&gt;0,ISNUMBER($H322)),$H322/$F322,"")</f>
        <v/>
      </c>
      <c r="S322" s="52" t="str">
        <f>IF(AND(ISNUMBER($J322),ISNUMBER($L322)),IF($L322&gt;0,$J322/$L322,""),"")</f>
        <v/>
      </c>
      <c r="T322" s="53" t="str">
        <f>IF(ISNUMBER($A322),YEAR($A322)&amp;"-"&amp;TEXT(MONTH($A322),"00"),"")</f>
        <v/>
      </c>
    </row>
    <row r="323">
      <c r="A323" s="47" t="n"/>
      <c r="B323" s="48" t="n"/>
      <c r="C323" s="48" t="n"/>
      <c r="D323" s="48" t="n"/>
      <c r="E323" s="48" t="n"/>
      <c r="F323" s="49" t="n"/>
      <c r="G323" s="49" t="n"/>
      <c r="H323" s="49" t="n"/>
      <c r="I323" s="49" t="n"/>
      <c r="J323" s="49" t="n"/>
      <c r="K323" s="49" t="n"/>
      <c r="L323" s="49" t="n"/>
      <c r="M323" s="49" t="n"/>
      <c r="N323" s="49" t="n"/>
      <c r="O323" s="49" t="n"/>
      <c r="P323" s="50" t="n"/>
      <c r="Q323" s="51" t="str">
        <f>IF(AND(ISNUMBER($F323),$F323&gt;0,ISNUMBER($G323)),$G323/$F323,"")</f>
        <v/>
      </c>
      <c r="R323" s="51" t="str">
        <f>IF(AND(ISNUMBER($F323),$F323&gt;0,ISNUMBER($H323)),$H323/$F323,"")</f>
        <v/>
      </c>
      <c r="S323" s="52" t="str">
        <f>IF(AND(ISNUMBER($J323),ISNUMBER($L323)),IF($L323&gt;0,$J323/$L323,""),"")</f>
        <v/>
      </c>
      <c r="T323" s="53" t="str">
        <f>IF(ISNUMBER($A323),YEAR($A323)&amp;"-"&amp;TEXT(MONTH($A323),"00"),"")</f>
        <v/>
      </c>
    </row>
    <row r="324">
      <c r="A324" s="47" t="n"/>
      <c r="B324" s="48" t="n"/>
      <c r="C324" s="48" t="n"/>
      <c r="D324" s="48" t="n"/>
      <c r="E324" s="48" t="n"/>
      <c r="F324" s="49" t="n"/>
      <c r="G324" s="49" t="n"/>
      <c r="H324" s="49" t="n"/>
      <c r="I324" s="49" t="n"/>
      <c r="J324" s="49" t="n"/>
      <c r="K324" s="49" t="n"/>
      <c r="L324" s="49" t="n"/>
      <c r="M324" s="49" t="n"/>
      <c r="N324" s="49" t="n"/>
      <c r="O324" s="49" t="n"/>
      <c r="P324" s="50" t="n"/>
      <c r="Q324" s="51" t="str">
        <f>IF(AND(ISNUMBER($F324),$F324&gt;0,ISNUMBER($G324)),$G324/$F324,"")</f>
        <v/>
      </c>
      <c r="R324" s="51" t="str">
        <f>IF(AND(ISNUMBER($F324),$F324&gt;0,ISNUMBER($H324)),$H324/$F324,"")</f>
        <v/>
      </c>
      <c r="S324" s="52" t="str">
        <f>IF(AND(ISNUMBER($J324),ISNUMBER($L324)),IF($L324&gt;0,$J324/$L324,""),"")</f>
        <v/>
      </c>
      <c r="T324" s="53" t="str">
        <f>IF(ISNUMBER($A324),YEAR($A324)&amp;"-"&amp;TEXT(MONTH($A324),"00"),"")</f>
        <v/>
      </c>
    </row>
    <row r="325">
      <c r="A325" s="47" t="n"/>
      <c r="B325" s="48" t="n"/>
      <c r="C325" s="48" t="n"/>
      <c r="D325" s="48" t="n"/>
      <c r="E325" s="48" t="n"/>
      <c r="F325" s="49" t="n"/>
      <c r="G325" s="49" t="n"/>
      <c r="H325" s="49" t="n"/>
      <c r="I325" s="49" t="n"/>
      <c r="J325" s="49" t="n"/>
      <c r="K325" s="49" t="n"/>
      <c r="L325" s="49" t="n"/>
      <c r="M325" s="49" t="n"/>
      <c r="N325" s="49" t="n"/>
      <c r="O325" s="49" t="n"/>
      <c r="P325" s="50" t="n"/>
      <c r="Q325" s="51" t="str">
        <f>IF(AND(ISNUMBER($F325),$F325&gt;0,ISNUMBER($G325)),$G325/$F325,"")</f>
        <v/>
      </c>
      <c r="R325" s="51" t="str">
        <f>IF(AND(ISNUMBER($F325),$F325&gt;0,ISNUMBER($H325)),$H325/$F325,"")</f>
        <v/>
      </c>
      <c r="S325" s="52" t="str">
        <f>IF(AND(ISNUMBER($J325),ISNUMBER($L325)),IF($L325&gt;0,$J325/$L325,""),"")</f>
        <v/>
      </c>
      <c r="T325" s="53" t="str">
        <f>IF(ISNUMBER($A325),YEAR($A325)&amp;"-"&amp;TEXT(MONTH($A325),"00"),"")</f>
        <v/>
      </c>
    </row>
    <row r="326">
      <c r="A326" s="47" t="n"/>
      <c r="B326" s="48" t="n"/>
      <c r="C326" s="48" t="n"/>
      <c r="D326" s="48" t="n"/>
      <c r="E326" s="48" t="n"/>
      <c r="F326" s="49" t="n"/>
      <c r="G326" s="49" t="n"/>
      <c r="H326" s="49" t="n"/>
      <c r="I326" s="49" t="n"/>
      <c r="J326" s="49" t="n"/>
      <c r="K326" s="49" t="n"/>
      <c r="L326" s="49" t="n"/>
      <c r="M326" s="49" t="n"/>
      <c r="N326" s="49" t="n"/>
      <c r="O326" s="49" t="n"/>
      <c r="P326" s="50" t="n"/>
      <c r="Q326" s="51" t="str">
        <f>IF(AND(ISNUMBER($F326),$F326&gt;0,ISNUMBER($G326)),$G326/$F326,"")</f>
        <v/>
      </c>
      <c r="R326" s="51" t="str">
        <f>IF(AND(ISNUMBER($F326),$F326&gt;0,ISNUMBER($H326)),$H326/$F326,"")</f>
        <v/>
      </c>
      <c r="S326" s="52" t="str">
        <f>IF(AND(ISNUMBER($J326),ISNUMBER($L326)),IF($L326&gt;0,$J326/$L326,""),"")</f>
        <v/>
      </c>
      <c r="T326" s="53" t="str">
        <f>IF(ISNUMBER($A326),YEAR($A326)&amp;"-"&amp;TEXT(MONTH($A326),"00"),"")</f>
        <v/>
      </c>
    </row>
    <row r="327">
      <c r="A327" s="47" t="n"/>
      <c r="B327" s="48" t="n"/>
      <c r="C327" s="48" t="n"/>
      <c r="D327" s="48" t="n"/>
      <c r="E327" s="48" t="n"/>
      <c r="F327" s="49" t="n"/>
      <c r="G327" s="49" t="n"/>
      <c r="H327" s="49" t="n"/>
      <c r="I327" s="49" t="n"/>
      <c r="J327" s="49" t="n"/>
      <c r="K327" s="49" t="n"/>
      <c r="L327" s="49" t="n"/>
      <c r="M327" s="49" t="n"/>
      <c r="N327" s="49" t="n"/>
      <c r="O327" s="49" t="n"/>
      <c r="P327" s="50" t="n"/>
      <c r="Q327" s="51" t="str">
        <f>IF(AND(ISNUMBER($F327),$F327&gt;0,ISNUMBER($G327)),$G327/$F327,"")</f>
        <v/>
      </c>
      <c r="R327" s="51" t="str">
        <f>IF(AND(ISNUMBER($F327),$F327&gt;0,ISNUMBER($H327)),$H327/$F327,"")</f>
        <v/>
      </c>
      <c r="S327" s="52" t="str">
        <f>IF(AND(ISNUMBER($J327),ISNUMBER($L327)),IF($L327&gt;0,$J327/$L327,""),"")</f>
        <v/>
      </c>
      <c r="T327" s="53" t="str">
        <f>IF(ISNUMBER($A327),YEAR($A327)&amp;"-"&amp;TEXT(MONTH($A327),"00"),"")</f>
        <v/>
      </c>
    </row>
    <row r="328">
      <c r="A328" s="47" t="n"/>
      <c r="B328" s="48" t="n"/>
      <c r="C328" s="48" t="n"/>
      <c r="D328" s="48" t="n"/>
      <c r="E328" s="48" t="n"/>
      <c r="F328" s="49" t="n"/>
      <c r="G328" s="49" t="n"/>
      <c r="H328" s="49" t="n"/>
      <c r="I328" s="49" t="n"/>
      <c r="J328" s="49" t="n"/>
      <c r="K328" s="49" t="n"/>
      <c r="L328" s="49" t="n"/>
      <c r="M328" s="49" t="n"/>
      <c r="N328" s="49" t="n"/>
      <c r="O328" s="49" t="n"/>
      <c r="P328" s="50" t="n"/>
      <c r="Q328" s="51" t="str">
        <f>IF(AND(ISNUMBER($F328),$F328&gt;0,ISNUMBER($G328)),$G328/$F328,"")</f>
        <v/>
      </c>
      <c r="R328" s="51" t="str">
        <f>IF(AND(ISNUMBER($F328),$F328&gt;0,ISNUMBER($H328)),$H328/$F328,"")</f>
        <v/>
      </c>
      <c r="S328" s="52" t="str">
        <f>IF(AND(ISNUMBER($J328),ISNUMBER($L328)),IF($L328&gt;0,$J328/$L328,""),"")</f>
        <v/>
      </c>
      <c r="T328" s="53" t="str">
        <f>IF(ISNUMBER($A328),YEAR($A328)&amp;"-"&amp;TEXT(MONTH($A328),"00"),"")</f>
        <v/>
      </c>
    </row>
    <row r="329">
      <c r="A329" s="47" t="n"/>
      <c r="B329" s="48" t="n"/>
      <c r="C329" s="48" t="n"/>
      <c r="D329" s="48" t="n"/>
      <c r="E329" s="48" t="n"/>
      <c r="F329" s="49" t="n"/>
      <c r="G329" s="49" t="n"/>
      <c r="H329" s="49" t="n"/>
      <c r="I329" s="49" t="n"/>
      <c r="J329" s="49" t="n"/>
      <c r="K329" s="49" t="n"/>
      <c r="L329" s="49" t="n"/>
      <c r="M329" s="49" t="n"/>
      <c r="N329" s="49" t="n"/>
      <c r="O329" s="49" t="n"/>
      <c r="P329" s="50" t="n"/>
      <c r="Q329" s="51" t="str">
        <f>IF(AND(ISNUMBER($F329),$F329&gt;0,ISNUMBER($G329)),$G329/$F329,"")</f>
        <v/>
      </c>
      <c r="R329" s="51" t="str">
        <f>IF(AND(ISNUMBER($F329),$F329&gt;0,ISNUMBER($H329)),$H329/$F329,"")</f>
        <v/>
      </c>
      <c r="S329" s="52" t="str">
        <f>IF(AND(ISNUMBER($J329),ISNUMBER($L329)),IF($L329&gt;0,$J329/$L329,""),"")</f>
        <v/>
      </c>
      <c r="T329" s="53" t="str">
        <f>IF(ISNUMBER($A329),YEAR($A329)&amp;"-"&amp;TEXT(MONTH($A329),"00"),"")</f>
        <v/>
      </c>
    </row>
    <row r="330">
      <c r="A330" s="47" t="n"/>
      <c r="B330" s="48" t="n"/>
      <c r="C330" s="48" t="n"/>
      <c r="D330" s="48" t="n"/>
      <c r="E330" s="48" t="n"/>
      <c r="F330" s="49" t="n"/>
      <c r="G330" s="49" t="n"/>
      <c r="H330" s="49" t="n"/>
      <c r="I330" s="49" t="n"/>
      <c r="J330" s="49" t="n"/>
      <c r="K330" s="49" t="n"/>
      <c r="L330" s="49" t="n"/>
      <c r="M330" s="49" t="n"/>
      <c r="N330" s="49" t="n"/>
      <c r="O330" s="49" t="n"/>
      <c r="P330" s="50" t="n"/>
      <c r="Q330" s="51" t="str">
        <f>IF(AND(ISNUMBER($F330),$F330&gt;0,ISNUMBER($G330)),$G330/$F330,"")</f>
        <v/>
      </c>
      <c r="R330" s="51" t="str">
        <f>IF(AND(ISNUMBER($F330),$F330&gt;0,ISNUMBER($H330)),$H330/$F330,"")</f>
        <v/>
      </c>
      <c r="S330" s="52" t="str">
        <f>IF(AND(ISNUMBER($J330),ISNUMBER($L330)),IF($L330&gt;0,$J330/$L330,""),"")</f>
        <v/>
      </c>
      <c r="T330" s="53" t="str">
        <f>IF(ISNUMBER($A330),YEAR($A330)&amp;"-"&amp;TEXT(MONTH($A330),"00"),"")</f>
        <v/>
      </c>
    </row>
    <row r="331">
      <c r="A331" s="47" t="n"/>
      <c r="B331" s="48" t="n"/>
      <c r="C331" s="48" t="n"/>
      <c r="D331" s="48" t="n"/>
      <c r="E331" s="48" t="n"/>
      <c r="F331" s="49" t="n"/>
      <c r="G331" s="49" t="n"/>
      <c r="H331" s="49" t="n"/>
      <c r="I331" s="49" t="n"/>
      <c r="J331" s="49" t="n"/>
      <c r="K331" s="49" t="n"/>
      <c r="L331" s="49" t="n"/>
      <c r="M331" s="49" t="n"/>
      <c r="N331" s="49" t="n"/>
      <c r="O331" s="49" t="n"/>
      <c r="P331" s="50" t="n"/>
      <c r="Q331" s="51" t="str">
        <f>IF(AND(ISNUMBER($F331),$F331&gt;0,ISNUMBER($G331)),$G331/$F331,"")</f>
        <v/>
      </c>
      <c r="R331" s="51" t="str">
        <f>IF(AND(ISNUMBER($F331),$F331&gt;0,ISNUMBER($H331)),$H331/$F331,"")</f>
        <v/>
      </c>
      <c r="S331" s="52" t="str">
        <f>IF(AND(ISNUMBER($J331),ISNUMBER($L331)),IF($L331&gt;0,$J331/$L331,""),"")</f>
        <v/>
      </c>
      <c r="T331" s="53" t="str">
        <f>IF(ISNUMBER($A331),YEAR($A331)&amp;"-"&amp;TEXT(MONTH($A331),"00"),"")</f>
        <v/>
      </c>
    </row>
    <row r="332">
      <c r="A332" s="47" t="n"/>
      <c r="B332" s="48" t="n"/>
      <c r="C332" s="48" t="n"/>
      <c r="D332" s="48" t="n"/>
      <c r="E332" s="48" t="n"/>
      <c r="F332" s="49" t="n"/>
      <c r="G332" s="49" t="n"/>
      <c r="H332" s="49" t="n"/>
      <c r="I332" s="49" t="n"/>
      <c r="J332" s="49" t="n"/>
      <c r="K332" s="49" t="n"/>
      <c r="L332" s="49" t="n"/>
      <c r="M332" s="49" t="n"/>
      <c r="N332" s="49" t="n"/>
      <c r="O332" s="49" t="n"/>
      <c r="P332" s="50" t="n"/>
      <c r="Q332" s="51" t="str">
        <f>IF(AND(ISNUMBER($F332),$F332&gt;0,ISNUMBER($G332)),$G332/$F332,"")</f>
        <v/>
      </c>
      <c r="R332" s="51" t="str">
        <f>IF(AND(ISNUMBER($F332),$F332&gt;0,ISNUMBER($H332)),$H332/$F332,"")</f>
        <v/>
      </c>
      <c r="S332" s="52" t="str">
        <f>IF(AND(ISNUMBER($J332),ISNUMBER($L332)),IF($L332&gt;0,$J332/$L332,""),"")</f>
        <v/>
      </c>
      <c r="T332" s="53" t="str">
        <f>IF(ISNUMBER($A332),YEAR($A332)&amp;"-"&amp;TEXT(MONTH($A332),"00"),"")</f>
        <v/>
      </c>
    </row>
    <row r="333">
      <c r="A333" s="47" t="n"/>
      <c r="B333" s="48" t="n"/>
      <c r="C333" s="48" t="n"/>
      <c r="D333" s="48" t="n"/>
      <c r="E333" s="48" t="n"/>
      <c r="F333" s="49" t="n"/>
      <c r="G333" s="49" t="n"/>
      <c r="H333" s="49" t="n"/>
      <c r="I333" s="49" t="n"/>
      <c r="J333" s="49" t="n"/>
      <c r="K333" s="49" t="n"/>
      <c r="L333" s="49" t="n"/>
      <c r="M333" s="49" t="n"/>
      <c r="N333" s="49" t="n"/>
      <c r="O333" s="49" t="n"/>
      <c r="P333" s="50" t="n"/>
      <c r="Q333" s="51" t="str">
        <f>IF(AND(ISNUMBER($F333),$F333&gt;0,ISNUMBER($G333)),$G333/$F333,"")</f>
        <v/>
      </c>
      <c r="R333" s="51" t="str">
        <f>IF(AND(ISNUMBER($F333),$F333&gt;0,ISNUMBER($H333)),$H333/$F333,"")</f>
        <v/>
      </c>
      <c r="S333" s="52" t="str">
        <f>IF(AND(ISNUMBER($J333),ISNUMBER($L333)),IF($L333&gt;0,$J333/$L333,""),"")</f>
        <v/>
      </c>
      <c r="T333" s="53" t="str">
        <f>IF(ISNUMBER($A333),YEAR($A333)&amp;"-"&amp;TEXT(MONTH($A333),"00"),"")</f>
        <v/>
      </c>
    </row>
    <row r="334">
      <c r="A334" s="47" t="n"/>
      <c r="B334" s="48" t="n"/>
      <c r="C334" s="48" t="n"/>
      <c r="D334" s="48" t="n"/>
      <c r="E334" s="48" t="n"/>
      <c r="F334" s="49" t="n"/>
      <c r="G334" s="49" t="n"/>
      <c r="H334" s="49" t="n"/>
      <c r="I334" s="49" t="n"/>
      <c r="J334" s="49" t="n"/>
      <c r="K334" s="49" t="n"/>
      <c r="L334" s="49" t="n"/>
      <c r="M334" s="49" t="n"/>
      <c r="N334" s="49" t="n"/>
      <c r="O334" s="49" t="n"/>
      <c r="P334" s="50" t="n"/>
      <c r="Q334" s="51" t="str">
        <f>IF(AND(ISNUMBER($F334),$F334&gt;0,ISNUMBER($G334)),$G334/$F334,"")</f>
        <v/>
      </c>
      <c r="R334" s="51" t="str">
        <f>IF(AND(ISNUMBER($F334),$F334&gt;0,ISNUMBER($H334)),$H334/$F334,"")</f>
        <v/>
      </c>
      <c r="S334" s="52" t="str">
        <f>IF(AND(ISNUMBER($J334),ISNUMBER($L334)),IF($L334&gt;0,$J334/$L334,""),"")</f>
        <v/>
      </c>
      <c r="T334" s="53" t="str">
        <f>IF(ISNUMBER($A334),YEAR($A334)&amp;"-"&amp;TEXT(MONTH($A334),"00"),"")</f>
        <v/>
      </c>
    </row>
    <row r="335">
      <c r="A335" s="47" t="n"/>
      <c r="B335" s="48" t="n"/>
      <c r="C335" s="48" t="n"/>
      <c r="D335" s="48" t="n"/>
      <c r="E335" s="48" t="n"/>
      <c r="F335" s="49" t="n"/>
      <c r="G335" s="49" t="n"/>
      <c r="H335" s="49" t="n"/>
      <c r="I335" s="49" t="n"/>
      <c r="J335" s="49" t="n"/>
      <c r="K335" s="49" t="n"/>
      <c r="L335" s="49" t="n"/>
      <c r="M335" s="49" t="n"/>
      <c r="N335" s="49" t="n"/>
      <c r="O335" s="49" t="n"/>
      <c r="P335" s="50" t="n"/>
      <c r="Q335" s="51" t="str">
        <f>IF(AND(ISNUMBER($F335),$F335&gt;0,ISNUMBER($G335)),$G335/$F335,"")</f>
        <v/>
      </c>
      <c r="R335" s="51" t="str">
        <f>IF(AND(ISNUMBER($F335),$F335&gt;0,ISNUMBER($H335)),$H335/$F335,"")</f>
        <v/>
      </c>
      <c r="S335" s="52" t="str">
        <f>IF(AND(ISNUMBER($J335),ISNUMBER($L335)),IF($L335&gt;0,$J335/$L335,""),"")</f>
        <v/>
      </c>
      <c r="T335" s="53" t="str">
        <f>IF(ISNUMBER($A335),YEAR($A335)&amp;"-"&amp;TEXT(MONTH($A335),"00"),"")</f>
        <v/>
      </c>
    </row>
    <row r="336">
      <c r="A336" s="47" t="n"/>
      <c r="B336" s="48" t="n"/>
      <c r="C336" s="48" t="n"/>
      <c r="D336" s="48" t="n"/>
      <c r="E336" s="48" t="n"/>
      <c r="F336" s="49" t="n"/>
      <c r="G336" s="49" t="n"/>
      <c r="H336" s="49" t="n"/>
      <c r="I336" s="49" t="n"/>
      <c r="J336" s="49" t="n"/>
      <c r="K336" s="49" t="n"/>
      <c r="L336" s="49" t="n"/>
      <c r="M336" s="49" t="n"/>
      <c r="N336" s="49" t="n"/>
      <c r="O336" s="49" t="n"/>
      <c r="P336" s="50" t="n"/>
      <c r="Q336" s="51" t="str">
        <f>IF(AND(ISNUMBER($F336),$F336&gt;0,ISNUMBER($G336)),$G336/$F336,"")</f>
        <v/>
      </c>
      <c r="R336" s="51" t="str">
        <f>IF(AND(ISNUMBER($F336),$F336&gt;0,ISNUMBER($H336)),$H336/$F336,"")</f>
        <v/>
      </c>
      <c r="S336" s="52" t="str">
        <f>IF(AND(ISNUMBER($J336),ISNUMBER($L336)),IF($L336&gt;0,$J336/$L336,""),"")</f>
        <v/>
      </c>
      <c r="T336" s="53" t="str">
        <f>IF(ISNUMBER($A336),YEAR($A336)&amp;"-"&amp;TEXT(MONTH($A336),"00"),"")</f>
        <v/>
      </c>
    </row>
    <row r="337">
      <c r="A337" s="47" t="n"/>
      <c r="B337" s="48" t="n"/>
      <c r="C337" s="48" t="n"/>
      <c r="D337" s="48" t="n"/>
      <c r="E337" s="48" t="n"/>
      <c r="F337" s="49" t="n"/>
      <c r="G337" s="49" t="n"/>
      <c r="H337" s="49" t="n"/>
      <c r="I337" s="49" t="n"/>
      <c r="J337" s="49" t="n"/>
      <c r="K337" s="49" t="n"/>
      <c r="L337" s="49" t="n"/>
      <c r="M337" s="49" t="n"/>
      <c r="N337" s="49" t="n"/>
      <c r="O337" s="49" t="n"/>
      <c r="P337" s="50" t="n"/>
      <c r="Q337" s="51" t="str">
        <f>IF(AND(ISNUMBER($F337),$F337&gt;0,ISNUMBER($G337)),$G337/$F337,"")</f>
        <v/>
      </c>
      <c r="R337" s="51" t="str">
        <f>IF(AND(ISNUMBER($F337),$F337&gt;0,ISNUMBER($H337)),$H337/$F337,"")</f>
        <v/>
      </c>
      <c r="S337" s="52" t="str">
        <f>IF(AND(ISNUMBER($J337),ISNUMBER($L337)),IF($L337&gt;0,$J337/$L337,""),"")</f>
        <v/>
      </c>
      <c r="T337" s="53" t="str">
        <f>IF(ISNUMBER($A337),YEAR($A337)&amp;"-"&amp;TEXT(MONTH($A337),"00"),"")</f>
        <v/>
      </c>
    </row>
    <row r="338">
      <c r="A338" s="47" t="n"/>
      <c r="B338" s="48" t="n"/>
      <c r="C338" s="48" t="n"/>
      <c r="D338" s="48" t="n"/>
      <c r="E338" s="48" t="n"/>
      <c r="F338" s="49" t="n"/>
      <c r="G338" s="49" t="n"/>
      <c r="H338" s="49" t="n"/>
      <c r="I338" s="49" t="n"/>
      <c r="J338" s="49" t="n"/>
      <c r="K338" s="49" t="n"/>
      <c r="L338" s="49" t="n"/>
      <c r="M338" s="49" t="n"/>
      <c r="N338" s="49" t="n"/>
      <c r="O338" s="49" t="n"/>
      <c r="P338" s="50" t="n"/>
      <c r="Q338" s="51" t="str">
        <f>IF(AND(ISNUMBER($F338),$F338&gt;0,ISNUMBER($G338)),$G338/$F338,"")</f>
        <v/>
      </c>
      <c r="R338" s="51" t="str">
        <f>IF(AND(ISNUMBER($F338),$F338&gt;0,ISNUMBER($H338)),$H338/$F338,"")</f>
        <v/>
      </c>
      <c r="S338" s="52" t="str">
        <f>IF(AND(ISNUMBER($J338),ISNUMBER($L338)),IF($L338&gt;0,$J338/$L338,""),"")</f>
        <v/>
      </c>
      <c r="T338" s="53" t="str">
        <f>IF(ISNUMBER($A338),YEAR($A338)&amp;"-"&amp;TEXT(MONTH($A338),"00"),"")</f>
        <v/>
      </c>
    </row>
    <row r="339">
      <c r="A339" s="47" t="n"/>
      <c r="B339" s="48" t="n"/>
      <c r="C339" s="48" t="n"/>
      <c r="D339" s="48" t="n"/>
      <c r="E339" s="48" t="n"/>
      <c r="F339" s="49" t="n"/>
      <c r="G339" s="49" t="n"/>
      <c r="H339" s="49" t="n"/>
      <c r="I339" s="49" t="n"/>
      <c r="J339" s="49" t="n"/>
      <c r="K339" s="49" t="n"/>
      <c r="L339" s="49" t="n"/>
      <c r="M339" s="49" t="n"/>
      <c r="N339" s="49" t="n"/>
      <c r="O339" s="49" t="n"/>
      <c r="P339" s="50" t="n"/>
      <c r="Q339" s="51" t="str">
        <f>IF(AND(ISNUMBER($F339),$F339&gt;0,ISNUMBER($G339)),$G339/$F339,"")</f>
        <v/>
      </c>
      <c r="R339" s="51" t="str">
        <f>IF(AND(ISNUMBER($F339),$F339&gt;0,ISNUMBER($H339)),$H339/$F339,"")</f>
        <v/>
      </c>
      <c r="S339" s="52" t="str">
        <f>IF(AND(ISNUMBER($J339),ISNUMBER($L339)),IF($L339&gt;0,$J339/$L339,""),"")</f>
        <v/>
      </c>
      <c r="T339" s="53" t="str">
        <f>IF(ISNUMBER($A339),YEAR($A339)&amp;"-"&amp;TEXT(MONTH($A339),"00"),"")</f>
        <v/>
      </c>
    </row>
    <row r="340">
      <c r="A340" s="47" t="n"/>
      <c r="B340" s="48" t="n"/>
      <c r="C340" s="48" t="n"/>
      <c r="D340" s="48" t="n"/>
      <c r="E340" s="48" t="n"/>
      <c r="F340" s="49" t="n"/>
      <c r="G340" s="49" t="n"/>
      <c r="H340" s="49" t="n"/>
      <c r="I340" s="49" t="n"/>
      <c r="J340" s="49" t="n"/>
      <c r="K340" s="49" t="n"/>
      <c r="L340" s="49" t="n"/>
      <c r="M340" s="49" t="n"/>
      <c r="N340" s="49" t="n"/>
      <c r="O340" s="49" t="n"/>
      <c r="P340" s="50" t="n"/>
      <c r="Q340" s="51" t="str">
        <f>IF(AND(ISNUMBER($F340),$F340&gt;0,ISNUMBER($G340)),$G340/$F340,"")</f>
        <v/>
      </c>
      <c r="R340" s="51" t="str">
        <f>IF(AND(ISNUMBER($F340),$F340&gt;0,ISNUMBER($H340)),$H340/$F340,"")</f>
        <v/>
      </c>
      <c r="S340" s="52" t="str">
        <f>IF(AND(ISNUMBER($J340),ISNUMBER($L340)),IF($L340&gt;0,$J340/$L340,""),"")</f>
        <v/>
      </c>
      <c r="T340" s="53" t="str">
        <f>IF(ISNUMBER($A340),YEAR($A340)&amp;"-"&amp;TEXT(MONTH($A340),"00"),"")</f>
        <v/>
      </c>
    </row>
    <row r="341">
      <c r="A341" s="47" t="n"/>
      <c r="B341" s="48" t="n"/>
      <c r="C341" s="48" t="n"/>
      <c r="D341" s="48" t="n"/>
      <c r="E341" s="48" t="n"/>
      <c r="F341" s="49" t="n"/>
      <c r="G341" s="49" t="n"/>
      <c r="H341" s="49" t="n"/>
      <c r="I341" s="49" t="n"/>
      <c r="J341" s="49" t="n"/>
      <c r="K341" s="49" t="n"/>
      <c r="L341" s="49" t="n"/>
      <c r="M341" s="49" t="n"/>
      <c r="N341" s="49" t="n"/>
      <c r="O341" s="49" t="n"/>
      <c r="P341" s="50" t="n"/>
      <c r="Q341" s="51" t="str">
        <f>IF(AND(ISNUMBER($F341),$F341&gt;0,ISNUMBER($G341)),$G341/$F341,"")</f>
        <v/>
      </c>
      <c r="R341" s="51" t="str">
        <f>IF(AND(ISNUMBER($F341),$F341&gt;0,ISNUMBER($H341)),$H341/$F341,"")</f>
        <v/>
      </c>
      <c r="S341" s="52" t="str">
        <f>IF(AND(ISNUMBER($J341),ISNUMBER($L341)),IF($L341&gt;0,$J341/$L341,""),"")</f>
        <v/>
      </c>
      <c r="T341" s="53" t="str">
        <f>IF(ISNUMBER($A341),YEAR($A341)&amp;"-"&amp;TEXT(MONTH($A341),"00"),"")</f>
        <v/>
      </c>
    </row>
    <row r="342">
      <c r="A342" s="47" t="n"/>
      <c r="B342" s="48" t="n"/>
      <c r="C342" s="48" t="n"/>
      <c r="D342" s="48" t="n"/>
      <c r="E342" s="48" t="n"/>
      <c r="F342" s="49" t="n"/>
      <c r="G342" s="49" t="n"/>
      <c r="H342" s="49" t="n"/>
      <c r="I342" s="49" t="n"/>
      <c r="J342" s="49" t="n"/>
      <c r="K342" s="49" t="n"/>
      <c r="L342" s="49" t="n"/>
      <c r="M342" s="49" t="n"/>
      <c r="N342" s="49" t="n"/>
      <c r="O342" s="49" t="n"/>
      <c r="P342" s="50" t="n"/>
      <c r="Q342" s="51" t="str">
        <f>IF(AND(ISNUMBER($F342),$F342&gt;0,ISNUMBER($G342)),$G342/$F342,"")</f>
        <v/>
      </c>
      <c r="R342" s="51" t="str">
        <f>IF(AND(ISNUMBER($F342),$F342&gt;0,ISNUMBER($H342)),$H342/$F342,"")</f>
        <v/>
      </c>
      <c r="S342" s="52" t="str">
        <f>IF(AND(ISNUMBER($J342),ISNUMBER($L342)),IF($L342&gt;0,$J342/$L342,""),"")</f>
        <v/>
      </c>
      <c r="T342" s="53" t="str">
        <f>IF(ISNUMBER($A342),YEAR($A342)&amp;"-"&amp;TEXT(MONTH($A342),"00"),"")</f>
        <v/>
      </c>
    </row>
    <row r="343">
      <c r="A343" s="47" t="n"/>
      <c r="B343" s="48" t="n"/>
      <c r="C343" s="48" t="n"/>
      <c r="D343" s="48" t="n"/>
      <c r="E343" s="48" t="n"/>
      <c r="F343" s="49" t="n"/>
      <c r="G343" s="49" t="n"/>
      <c r="H343" s="49" t="n"/>
      <c r="I343" s="49" t="n"/>
      <c r="J343" s="49" t="n"/>
      <c r="K343" s="49" t="n"/>
      <c r="L343" s="49" t="n"/>
      <c r="M343" s="49" t="n"/>
      <c r="N343" s="49" t="n"/>
      <c r="O343" s="49" t="n"/>
      <c r="P343" s="50" t="n"/>
      <c r="Q343" s="51" t="str">
        <f>IF(AND(ISNUMBER($F343),$F343&gt;0,ISNUMBER($G343)),$G343/$F343,"")</f>
        <v/>
      </c>
      <c r="R343" s="51" t="str">
        <f>IF(AND(ISNUMBER($F343),$F343&gt;0,ISNUMBER($H343)),$H343/$F343,"")</f>
        <v/>
      </c>
      <c r="S343" s="52" t="str">
        <f>IF(AND(ISNUMBER($J343),ISNUMBER($L343)),IF($L343&gt;0,$J343/$L343,""),"")</f>
        <v/>
      </c>
      <c r="T343" s="53" t="str">
        <f>IF(ISNUMBER($A343),YEAR($A343)&amp;"-"&amp;TEXT(MONTH($A343),"00"),"")</f>
        <v/>
      </c>
    </row>
    <row r="344">
      <c r="A344" s="47" t="n"/>
      <c r="B344" s="48" t="n"/>
      <c r="C344" s="48" t="n"/>
      <c r="D344" s="48" t="n"/>
      <c r="E344" s="48" t="n"/>
      <c r="F344" s="49" t="n"/>
      <c r="G344" s="49" t="n"/>
      <c r="H344" s="49" t="n"/>
      <c r="I344" s="49" t="n"/>
      <c r="J344" s="49" t="n"/>
      <c r="K344" s="49" t="n"/>
      <c r="L344" s="49" t="n"/>
      <c r="M344" s="49" t="n"/>
      <c r="N344" s="49" t="n"/>
      <c r="O344" s="49" t="n"/>
      <c r="P344" s="50" t="n"/>
      <c r="Q344" s="51" t="str">
        <f>IF(AND(ISNUMBER($F344),$F344&gt;0,ISNUMBER($G344)),$G344/$F344,"")</f>
        <v/>
      </c>
      <c r="R344" s="51" t="str">
        <f>IF(AND(ISNUMBER($F344),$F344&gt;0,ISNUMBER($H344)),$H344/$F344,"")</f>
        <v/>
      </c>
      <c r="S344" s="52" t="str">
        <f>IF(AND(ISNUMBER($J344),ISNUMBER($L344)),IF($L344&gt;0,$J344/$L344,""),"")</f>
        <v/>
      </c>
      <c r="T344" s="53" t="str">
        <f>IF(ISNUMBER($A344),YEAR($A344)&amp;"-"&amp;TEXT(MONTH($A344),"00"),"")</f>
        <v/>
      </c>
    </row>
    <row r="345">
      <c r="A345" s="47" t="n"/>
      <c r="B345" s="48" t="n"/>
      <c r="C345" s="48" t="n"/>
      <c r="D345" s="48" t="n"/>
      <c r="E345" s="48" t="n"/>
      <c r="F345" s="49" t="n"/>
      <c r="G345" s="49" t="n"/>
      <c r="H345" s="49" t="n"/>
      <c r="I345" s="49" t="n"/>
      <c r="J345" s="49" t="n"/>
      <c r="K345" s="49" t="n"/>
      <c r="L345" s="49" t="n"/>
      <c r="M345" s="49" t="n"/>
      <c r="N345" s="49" t="n"/>
      <c r="O345" s="49" t="n"/>
      <c r="P345" s="50" t="n"/>
      <c r="Q345" s="51" t="str">
        <f>IF(AND(ISNUMBER($F345),$F345&gt;0,ISNUMBER($G345)),$G345/$F345,"")</f>
        <v/>
      </c>
      <c r="R345" s="51" t="str">
        <f>IF(AND(ISNUMBER($F345),$F345&gt;0,ISNUMBER($H345)),$H345/$F345,"")</f>
        <v/>
      </c>
      <c r="S345" s="52" t="str">
        <f>IF(AND(ISNUMBER($J345),ISNUMBER($L345)),IF($L345&gt;0,$J345/$L345,""),"")</f>
        <v/>
      </c>
      <c r="T345" s="53" t="str">
        <f>IF(ISNUMBER($A345),YEAR($A345)&amp;"-"&amp;TEXT(MONTH($A345),"00"),"")</f>
        <v/>
      </c>
    </row>
    <row r="346">
      <c r="A346" s="47" t="n"/>
      <c r="B346" s="48" t="n"/>
      <c r="C346" s="48" t="n"/>
      <c r="D346" s="48" t="n"/>
      <c r="E346" s="48" t="n"/>
      <c r="F346" s="49" t="n"/>
      <c r="G346" s="49" t="n"/>
      <c r="H346" s="49" t="n"/>
      <c r="I346" s="49" t="n"/>
      <c r="J346" s="49" t="n"/>
      <c r="K346" s="49" t="n"/>
      <c r="L346" s="49" t="n"/>
      <c r="M346" s="49" t="n"/>
      <c r="N346" s="49" t="n"/>
      <c r="O346" s="49" t="n"/>
      <c r="P346" s="50" t="n"/>
      <c r="Q346" s="51" t="str">
        <f>IF(AND(ISNUMBER($F346),$F346&gt;0,ISNUMBER($G346)),$G346/$F346,"")</f>
        <v/>
      </c>
      <c r="R346" s="51" t="str">
        <f>IF(AND(ISNUMBER($F346),$F346&gt;0,ISNUMBER($H346)),$H346/$F346,"")</f>
        <v/>
      </c>
      <c r="S346" s="52" t="str">
        <f>IF(AND(ISNUMBER($J346),ISNUMBER($L346)),IF($L346&gt;0,$J346/$L346,""),"")</f>
        <v/>
      </c>
      <c r="T346" s="53" t="str">
        <f>IF(ISNUMBER($A346),YEAR($A346)&amp;"-"&amp;TEXT(MONTH($A346),"00"),"")</f>
        <v/>
      </c>
    </row>
    <row r="347">
      <c r="A347" s="47" t="n"/>
      <c r="B347" s="48" t="n"/>
      <c r="C347" s="48" t="n"/>
      <c r="D347" s="48" t="n"/>
      <c r="E347" s="48" t="n"/>
      <c r="F347" s="49" t="n"/>
      <c r="G347" s="49" t="n"/>
      <c r="H347" s="49" t="n"/>
      <c r="I347" s="49" t="n"/>
      <c r="J347" s="49" t="n"/>
      <c r="K347" s="49" t="n"/>
      <c r="L347" s="49" t="n"/>
      <c r="M347" s="49" t="n"/>
      <c r="N347" s="49" t="n"/>
      <c r="O347" s="49" t="n"/>
      <c r="P347" s="50" t="n"/>
      <c r="Q347" s="51" t="str">
        <f>IF(AND(ISNUMBER($F347),$F347&gt;0,ISNUMBER($G347)),$G347/$F347,"")</f>
        <v/>
      </c>
      <c r="R347" s="51" t="str">
        <f>IF(AND(ISNUMBER($F347),$F347&gt;0,ISNUMBER($H347)),$H347/$F347,"")</f>
        <v/>
      </c>
      <c r="S347" s="52" t="str">
        <f>IF(AND(ISNUMBER($J347),ISNUMBER($L347)),IF($L347&gt;0,$J347/$L347,""),"")</f>
        <v/>
      </c>
      <c r="T347" s="53" t="str">
        <f>IF(ISNUMBER($A347),YEAR($A347)&amp;"-"&amp;TEXT(MONTH($A347),"00"),"")</f>
        <v/>
      </c>
    </row>
    <row r="348">
      <c r="A348" s="47" t="n"/>
      <c r="B348" s="48" t="n"/>
      <c r="C348" s="48" t="n"/>
      <c r="D348" s="48" t="n"/>
      <c r="E348" s="48" t="n"/>
      <c r="F348" s="49" t="n"/>
      <c r="G348" s="49" t="n"/>
      <c r="H348" s="49" t="n"/>
      <c r="I348" s="49" t="n"/>
      <c r="J348" s="49" t="n"/>
      <c r="K348" s="49" t="n"/>
      <c r="L348" s="49" t="n"/>
      <c r="M348" s="49" t="n"/>
      <c r="N348" s="49" t="n"/>
      <c r="O348" s="49" t="n"/>
      <c r="P348" s="50" t="n"/>
      <c r="Q348" s="51" t="str">
        <f>IF(AND(ISNUMBER($F348),$F348&gt;0,ISNUMBER($G348)),$G348/$F348,"")</f>
        <v/>
      </c>
      <c r="R348" s="51" t="str">
        <f>IF(AND(ISNUMBER($F348),$F348&gt;0,ISNUMBER($H348)),$H348/$F348,"")</f>
        <v/>
      </c>
      <c r="S348" s="52" t="str">
        <f>IF(AND(ISNUMBER($J348),ISNUMBER($L348)),IF($L348&gt;0,$J348/$L348,""),"")</f>
        <v/>
      </c>
      <c r="T348" s="53" t="str">
        <f>IF(ISNUMBER($A348),YEAR($A348)&amp;"-"&amp;TEXT(MONTH($A348),"00"),"")</f>
        <v/>
      </c>
    </row>
    <row r="349">
      <c r="A349" s="47" t="n"/>
      <c r="B349" s="48" t="n"/>
      <c r="C349" s="48" t="n"/>
      <c r="D349" s="48" t="n"/>
      <c r="E349" s="48" t="n"/>
      <c r="F349" s="49" t="n"/>
      <c r="G349" s="49" t="n"/>
      <c r="H349" s="49" t="n"/>
      <c r="I349" s="49" t="n"/>
      <c r="J349" s="49" t="n"/>
      <c r="K349" s="49" t="n"/>
      <c r="L349" s="49" t="n"/>
      <c r="M349" s="49" t="n"/>
      <c r="N349" s="49" t="n"/>
      <c r="O349" s="49" t="n"/>
      <c r="P349" s="50" t="n"/>
      <c r="Q349" s="51" t="str">
        <f>IF(AND(ISNUMBER($F349),$F349&gt;0,ISNUMBER($G349)),$G349/$F349,"")</f>
        <v/>
      </c>
      <c r="R349" s="51" t="str">
        <f>IF(AND(ISNUMBER($F349),$F349&gt;0,ISNUMBER($H349)),$H349/$F349,"")</f>
        <v/>
      </c>
      <c r="S349" s="52" t="str">
        <f>IF(AND(ISNUMBER($J349),ISNUMBER($L349)),IF($L349&gt;0,$J349/$L349,""),"")</f>
        <v/>
      </c>
      <c r="T349" s="53" t="str">
        <f>IF(ISNUMBER($A349),YEAR($A349)&amp;"-"&amp;TEXT(MONTH($A349),"00"),"")</f>
        <v/>
      </c>
    </row>
    <row r="350">
      <c r="A350" s="47" t="n"/>
      <c r="B350" s="48" t="n"/>
      <c r="C350" s="48" t="n"/>
      <c r="D350" s="48" t="n"/>
      <c r="E350" s="48" t="n"/>
      <c r="F350" s="49" t="n"/>
      <c r="G350" s="49" t="n"/>
      <c r="H350" s="49" t="n"/>
      <c r="I350" s="49" t="n"/>
      <c r="J350" s="49" t="n"/>
      <c r="K350" s="49" t="n"/>
      <c r="L350" s="49" t="n"/>
      <c r="M350" s="49" t="n"/>
      <c r="N350" s="49" t="n"/>
      <c r="O350" s="49" t="n"/>
      <c r="P350" s="50" t="n"/>
      <c r="Q350" s="51" t="str">
        <f>IF(AND(ISNUMBER($F350),$F350&gt;0,ISNUMBER($G350)),$G350/$F350,"")</f>
        <v/>
      </c>
      <c r="R350" s="51" t="str">
        <f>IF(AND(ISNUMBER($F350),$F350&gt;0,ISNUMBER($H350)),$H350/$F350,"")</f>
        <v/>
      </c>
      <c r="S350" s="52" t="str">
        <f>IF(AND(ISNUMBER($J350),ISNUMBER($L350)),IF($L350&gt;0,$J350/$L350,""),"")</f>
        <v/>
      </c>
      <c r="T350" s="53" t="str">
        <f>IF(ISNUMBER($A350),YEAR($A350)&amp;"-"&amp;TEXT(MONTH($A350),"00"),"")</f>
        <v/>
      </c>
    </row>
    <row r="351">
      <c r="A351" s="47" t="n"/>
      <c r="B351" s="48" t="n"/>
      <c r="C351" s="48" t="n"/>
      <c r="D351" s="48" t="n"/>
      <c r="E351" s="48" t="n"/>
      <c r="F351" s="49" t="n"/>
      <c r="G351" s="49" t="n"/>
      <c r="H351" s="49" t="n"/>
      <c r="I351" s="49" t="n"/>
      <c r="J351" s="49" t="n"/>
      <c r="K351" s="49" t="n"/>
      <c r="L351" s="49" t="n"/>
      <c r="M351" s="49" t="n"/>
      <c r="N351" s="49" t="n"/>
      <c r="O351" s="49" t="n"/>
      <c r="P351" s="50" t="n"/>
      <c r="Q351" s="51" t="str">
        <f>IF(AND(ISNUMBER($F351),$F351&gt;0,ISNUMBER($G351)),$G351/$F351,"")</f>
        <v/>
      </c>
      <c r="R351" s="51" t="str">
        <f>IF(AND(ISNUMBER($F351),$F351&gt;0,ISNUMBER($H351)),$H351/$F351,"")</f>
        <v/>
      </c>
      <c r="S351" s="52" t="str">
        <f>IF(AND(ISNUMBER($J351),ISNUMBER($L351)),IF($L351&gt;0,$J351/$L351,""),"")</f>
        <v/>
      </c>
      <c r="T351" s="53" t="str">
        <f>IF(ISNUMBER($A351),YEAR($A351)&amp;"-"&amp;TEXT(MONTH($A351),"00"),"")</f>
        <v/>
      </c>
    </row>
    <row r="352">
      <c r="A352" s="47" t="n"/>
      <c r="B352" s="48" t="n"/>
      <c r="C352" s="48" t="n"/>
      <c r="D352" s="48" t="n"/>
      <c r="E352" s="48" t="n"/>
      <c r="F352" s="49" t="n"/>
      <c r="G352" s="49" t="n"/>
      <c r="H352" s="49" t="n"/>
      <c r="I352" s="49" t="n"/>
      <c r="J352" s="49" t="n"/>
      <c r="K352" s="49" t="n"/>
      <c r="L352" s="49" t="n"/>
      <c r="M352" s="49" t="n"/>
      <c r="N352" s="49" t="n"/>
      <c r="O352" s="49" t="n"/>
      <c r="P352" s="50" t="n"/>
      <c r="Q352" s="51" t="str">
        <f>IF(AND(ISNUMBER($F352),$F352&gt;0,ISNUMBER($G352)),$G352/$F352,"")</f>
        <v/>
      </c>
      <c r="R352" s="51" t="str">
        <f>IF(AND(ISNUMBER($F352),$F352&gt;0,ISNUMBER($H352)),$H352/$F352,"")</f>
        <v/>
      </c>
      <c r="S352" s="52" t="str">
        <f>IF(AND(ISNUMBER($J352),ISNUMBER($L352)),IF($L352&gt;0,$J352/$L352,""),"")</f>
        <v/>
      </c>
      <c r="T352" s="53" t="str">
        <f>IF(ISNUMBER($A352),YEAR($A352)&amp;"-"&amp;TEXT(MONTH($A352),"00"),"")</f>
        <v/>
      </c>
    </row>
    <row r="353">
      <c r="A353" s="47" t="n"/>
      <c r="B353" s="48" t="n"/>
      <c r="C353" s="48" t="n"/>
      <c r="D353" s="48" t="n"/>
      <c r="E353" s="48" t="n"/>
      <c r="F353" s="49" t="n"/>
      <c r="G353" s="49" t="n"/>
      <c r="H353" s="49" t="n"/>
      <c r="I353" s="49" t="n"/>
      <c r="J353" s="49" t="n"/>
      <c r="K353" s="49" t="n"/>
      <c r="L353" s="49" t="n"/>
      <c r="M353" s="49" t="n"/>
      <c r="N353" s="49" t="n"/>
      <c r="O353" s="49" t="n"/>
      <c r="P353" s="50" t="n"/>
      <c r="Q353" s="51" t="str">
        <f>IF(AND(ISNUMBER($F353),$F353&gt;0,ISNUMBER($G353)),$G353/$F353,"")</f>
        <v/>
      </c>
      <c r="R353" s="51" t="str">
        <f>IF(AND(ISNUMBER($F353),$F353&gt;0,ISNUMBER($H353)),$H353/$F353,"")</f>
        <v/>
      </c>
      <c r="S353" s="52" t="str">
        <f>IF(AND(ISNUMBER($J353),ISNUMBER($L353)),IF($L353&gt;0,$J353/$L353,""),"")</f>
        <v/>
      </c>
      <c r="T353" s="53" t="str">
        <f>IF(ISNUMBER($A353),YEAR($A353)&amp;"-"&amp;TEXT(MONTH($A353),"00"),"")</f>
        <v/>
      </c>
    </row>
    <row r="354">
      <c r="A354" s="47" t="n"/>
      <c r="B354" s="48" t="n"/>
      <c r="C354" s="48" t="n"/>
      <c r="D354" s="48" t="n"/>
      <c r="E354" s="48" t="n"/>
      <c r="F354" s="49" t="n"/>
      <c r="G354" s="49" t="n"/>
      <c r="H354" s="49" t="n"/>
      <c r="I354" s="49" t="n"/>
      <c r="J354" s="49" t="n"/>
      <c r="K354" s="49" t="n"/>
      <c r="L354" s="49" t="n"/>
      <c r="M354" s="49" t="n"/>
      <c r="N354" s="49" t="n"/>
      <c r="O354" s="49" t="n"/>
      <c r="P354" s="50" t="n"/>
      <c r="Q354" s="51" t="str">
        <f>IF(AND(ISNUMBER($F354),$F354&gt;0,ISNUMBER($G354)),$G354/$F354,"")</f>
        <v/>
      </c>
      <c r="R354" s="51" t="str">
        <f>IF(AND(ISNUMBER($F354),$F354&gt;0,ISNUMBER($H354)),$H354/$F354,"")</f>
        <v/>
      </c>
      <c r="S354" s="52" t="str">
        <f>IF(AND(ISNUMBER($J354),ISNUMBER($L354)),IF($L354&gt;0,$J354/$L354,""),"")</f>
        <v/>
      </c>
      <c r="T354" s="53" t="str">
        <f>IF(ISNUMBER($A354),YEAR($A354)&amp;"-"&amp;TEXT(MONTH($A354),"00"),"")</f>
        <v/>
      </c>
    </row>
    <row r="355">
      <c r="A355" s="47" t="n"/>
      <c r="B355" s="48" t="n"/>
      <c r="C355" s="48" t="n"/>
      <c r="D355" s="48" t="n"/>
      <c r="E355" s="48" t="n"/>
      <c r="F355" s="49" t="n"/>
      <c r="G355" s="49" t="n"/>
      <c r="H355" s="49" t="n"/>
      <c r="I355" s="49" t="n"/>
      <c r="J355" s="49" t="n"/>
      <c r="K355" s="49" t="n"/>
      <c r="L355" s="49" t="n"/>
      <c r="M355" s="49" t="n"/>
      <c r="N355" s="49" t="n"/>
      <c r="O355" s="49" t="n"/>
      <c r="P355" s="50" t="n"/>
      <c r="Q355" s="51" t="str">
        <f>IF(AND(ISNUMBER($F355),$F355&gt;0,ISNUMBER($G355)),$G355/$F355,"")</f>
        <v/>
      </c>
      <c r="R355" s="51" t="str">
        <f>IF(AND(ISNUMBER($F355),$F355&gt;0,ISNUMBER($H355)),$H355/$F355,"")</f>
        <v/>
      </c>
      <c r="S355" s="52" t="str">
        <f>IF(AND(ISNUMBER($J355),ISNUMBER($L355)),IF($L355&gt;0,$J355/$L355,""),"")</f>
        <v/>
      </c>
      <c r="T355" s="53" t="str">
        <f>IF(ISNUMBER($A355),YEAR($A355)&amp;"-"&amp;TEXT(MONTH($A355),"00"),"")</f>
        <v/>
      </c>
    </row>
    <row r="356">
      <c r="A356" s="47" t="n"/>
      <c r="B356" s="48" t="n"/>
      <c r="C356" s="48" t="n"/>
      <c r="D356" s="48" t="n"/>
      <c r="E356" s="48" t="n"/>
      <c r="F356" s="49" t="n"/>
      <c r="G356" s="49" t="n"/>
      <c r="H356" s="49" t="n"/>
      <c r="I356" s="49" t="n"/>
      <c r="J356" s="49" t="n"/>
      <c r="K356" s="49" t="n"/>
      <c r="L356" s="49" t="n"/>
      <c r="M356" s="49" t="n"/>
      <c r="N356" s="49" t="n"/>
      <c r="O356" s="49" t="n"/>
      <c r="P356" s="50" t="n"/>
      <c r="Q356" s="51" t="str">
        <f>IF(AND(ISNUMBER($F356),$F356&gt;0,ISNUMBER($G356)),$G356/$F356,"")</f>
        <v/>
      </c>
      <c r="R356" s="51" t="str">
        <f>IF(AND(ISNUMBER($F356),$F356&gt;0,ISNUMBER($H356)),$H356/$F356,"")</f>
        <v/>
      </c>
      <c r="S356" s="52" t="str">
        <f>IF(AND(ISNUMBER($J356),ISNUMBER($L356)),IF($L356&gt;0,$J356/$L356,""),"")</f>
        <v/>
      </c>
      <c r="T356" s="53" t="str">
        <f>IF(ISNUMBER($A356),YEAR($A356)&amp;"-"&amp;TEXT(MONTH($A356),"00"),"")</f>
        <v/>
      </c>
    </row>
    <row r="357">
      <c r="A357" s="47" t="n"/>
      <c r="B357" s="48" t="n"/>
      <c r="C357" s="48" t="n"/>
      <c r="D357" s="48" t="n"/>
      <c r="E357" s="48" t="n"/>
      <c r="F357" s="49" t="n"/>
      <c r="G357" s="49" t="n"/>
      <c r="H357" s="49" t="n"/>
      <c r="I357" s="49" t="n"/>
      <c r="J357" s="49" t="n"/>
      <c r="K357" s="49" t="n"/>
      <c r="L357" s="49" t="n"/>
      <c r="M357" s="49" t="n"/>
      <c r="N357" s="49" t="n"/>
      <c r="O357" s="49" t="n"/>
      <c r="P357" s="50" t="n"/>
      <c r="Q357" s="51" t="str">
        <f>IF(AND(ISNUMBER($F357),$F357&gt;0,ISNUMBER($G357)),$G357/$F357,"")</f>
        <v/>
      </c>
      <c r="R357" s="51" t="str">
        <f>IF(AND(ISNUMBER($F357),$F357&gt;0,ISNUMBER($H357)),$H357/$F357,"")</f>
        <v/>
      </c>
      <c r="S357" s="52" t="str">
        <f>IF(AND(ISNUMBER($J357),ISNUMBER($L357)),IF($L357&gt;0,$J357/$L357,""),"")</f>
        <v/>
      </c>
      <c r="T357" s="53" t="str">
        <f>IF(ISNUMBER($A357),YEAR($A357)&amp;"-"&amp;TEXT(MONTH($A357),"00"),"")</f>
        <v/>
      </c>
    </row>
    <row r="358">
      <c r="A358" s="47" t="n"/>
      <c r="B358" s="48" t="n"/>
      <c r="C358" s="48" t="n"/>
      <c r="D358" s="48" t="n"/>
      <c r="E358" s="48" t="n"/>
      <c r="F358" s="49" t="n"/>
      <c r="G358" s="49" t="n"/>
      <c r="H358" s="49" t="n"/>
      <c r="I358" s="49" t="n"/>
      <c r="J358" s="49" t="n"/>
      <c r="K358" s="49" t="n"/>
      <c r="L358" s="49" t="n"/>
      <c r="M358" s="49" t="n"/>
      <c r="N358" s="49" t="n"/>
      <c r="O358" s="49" t="n"/>
      <c r="P358" s="50" t="n"/>
      <c r="Q358" s="51" t="str">
        <f>IF(AND(ISNUMBER($F358),$F358&gt;0,ISNUMBER($G358)),$G358/$F358,"")</f>
        <v/>
      </c>
      <c r="R358" s="51" t="str">
        <f>IF(AND(ISNUMBER($F358),$F358&gt;0,ISNUMBER($H358)),$H358/$F358,"")</f>
        <v/>
      </c>
      <c r="S358" s="52" t="str">
        <f>IF(AND(ISNUMBER($J358),ISNUMBER($L358)),IF($L358&gt;0,$J358/$L358,""),"")</f>
        <v/>
      </c>
      <c r="T358" s="53" t="str">
        <f>IF(ISNUMBER($A358),YEAR($A358)&amp;"-"&amp;TEXT(MONTH($A358),"00"),"")</f>
        <v/>
      </c>
    </row>
    <row r="359">
      <c r="A359" s="47" t="n"/>
      <c r="B359" s="48" t="n"/>
      <c r="C359" s="48" t="n"/>
      <c r="D359" s="48" t="n"/>
      <c r="E359" s="48" t="n"/>
      <c r="F359" s="49" t="n"/>
      <c r="G359" s="49" t="n"/>
      <c r="H359" s="49" t="n"/>
      <c r="I359" s="49" t="n"/>
      <c r="J359" s="49" t="n"/>
      <c r="K359" s="49" t="n"/>
      <c r="L359" s="49" t="n"/>
      <c r="M359" s="49" t="n"/>
      <c r="N359" s="49" t="n"/>
      <c r="O359" s="49" t="n"/>
      <c r="P359" s="50" t="n"/>
      <c r="Q359" s="51" t="str">
        <f>IF(AND(ISNUMBER($F359),$F359&gt;0,ISNUMBER($G359)),$G359/$F359,"")</f>
        <v/>
      </c>
      <c r="R359" s="51" t="str">
        <f>IF(AND(ISNUMBER($F359),$F359&gt;0,ISNUMBER($H359)),$H359/$F359,"")</f>
        <v/>
      </c>
      <c r="S359" s="52" t="str">
        <f>IF(AND(ISNUMBER($J359),ISNUMBER($L359)),IF($L359&gt;0,$J359/$L359,""),"")</f>
        <v/>
      </c>
      <c r="T359" s="53" t="str">
        <f>IF(ISNUMBER($A359),YEAR($A359)&amp;"-"&amp;TEXT(MONTH($A359),"00"),"")</f>
        <v/>
      </c>
    </row>
    <row r="360">
      <c r="A360" s="47" t="n"/>
      <c r="B360" s="48" t="n"/>
      <c r="C360" s="48" t="n"/>
      <c r="D360" s="48" t="n"/>
      <c r="E360" s="48" t="n"/>
      <c r="F360" s="49" t="n"/>
      <c r="G360" s="49" t="n"/>
      <c r="H360" s="49" t="n"/>
      <c r="I360" s="49" t="n"/>
      <c r="J360" s="49" t="n"/>
      <c r="K360" s="49" t="n"/>
      <c r="L360" s="49" t="n"/>
      <c r="M360" s="49" t="n"/>
      <c r="N360" s="49" t="n"/>
      <c r="O360" s="49" t="n"/>
      <c r="P360" s="50" t="n"/>
      <c r="Q360" s="51" t="str">
        <f>IF(AND(ISNUMBER($F360),$F360&gt;0,ISNUMBER($G360)),$G360/$F360,"")</f>
        <v/>
      </c>
      <c r="R360" s="51" t="str">
        <f>IF(AND(ISNUMBER($F360),$F360&gt;0,ISNUMBER($H360)),$H360/$F360,"")</f>
        <v/>
      </c>
      <c r="S360" s="52" t="str">
        <f>IF(AND(ISNUMBER($J360),ISNUMBER($L360)),IF($L360&gt;0,$J360/$L360,""),"")</f>
        <v/>
      </c>
      <c r="T360" s="53" t="str">
        <f>IF(ISNUMBER($A360),YEAR($A360)&amp;"-"&amp;TEXT(MONTH($A360),"00"),"")</f>
        <v/>
      </c>
    </row>
    <row r="361">
      <c r="A361" s="47" t="n"/>
      <c r="B361" s="48" t="n"/>
      <c r="C361" s="48" t="n"/>
      <c r="D361" s="48" t="n"/>
      <c r="E361" s="48" t="n"/>
      <c r="F361" s="49" t="n"/>
      <c r="G361" s="49" t="n"/>
      <c r="H361" s="49" t="n"/>
      <c r="I361" s="49" t="n"/>
      <c r="J361" s="49" t="n"/>
      <c r="K361" s="49" t="n"/>
      <c r="L361" s="49" t="n"/>
      <c r="M361" s="49" t="n"/>
      <c r="N361" s="49" t="n"/>
      <c r="O361" s="49" t="n"/>
      <c r="P361" s="50" t="n"/>
      <c r="Q361" s="51" t="str">
        <f>IF(AND(ISNUMBER($F361),$F361&gt;0,ISNUMBER($G361)),$G361/$F361,"")</f>
        <v/>
      </c>
      <c r="R361" s="51" t="str">
        <f>IF(AND(ISNUMBER($F361),$F361&gt;0,ISNUMBER($H361)),$H361/$F361,"")</f>
        <v/>
      </c>
      <c r="S361" s="52" t="str">
        <f>IF(AND(ISNUMBER($J361),ISNUMBER($L361)),IF($L361&gt;0,$J361/$L361,""),"")</f>
        <v/>
      </c>
      <c r="T361" s="53" t="str">
        <f>IF(ISNUMBER($A361),YEAR($A361)&amp;"-"&amp;TEXT(MONTH($A361),"00"),"")</f>
        <v/>
      </c>
    </row>
    <row r="362">
      <c r="A362" s="47" t="n"/>
      <c r="B362" s="48" t="n"/>
      <c r="C362" s="48" t="n"/>
      <c r="D362" s="48" t="n"/>
      <c r="E362" s="48" t="n"/>
      <c r="F362" s="49" t="n"/>
      <c r="G362" s="49" t="n"/>
      <c r="H362" s="49" t="n"/>
      <c r="I362" s="49" t="n"/>
      <c r="J362" s="49" t="n"/>
      <c r="K362" s="49" t="n"/>
      <c r="L362" s="49" t="n"/>
      <c r="M362" s="49" t="n"/>
      <c r="N362" s="49" t="n"/>
      <c r="O362" s="49" t="n"/>
      <c r="P362" s="50" t="n"/>
      <c r="Q362" s="51" t="str">
        <f>IF(AND(ISNUMBER($F362),$F362&gt;0,ISNUMBER($G362)),$G362/$F362,"")</f>
        <v/>
      </c>
      <c r="R362" s="51" t="str">
        <f>IF(AND(ISNUMBER($F362),$F362&gt;0,ISNUMBER($H362)),$H362/$F362,"")</f>
        <v/>
      </c>
      <c r="S362" s="52" t="str">
        <f>IF(AND(ISNUMBER($J362),ISNUMBER($L362)),IF($L362&gt;0,$J362/$L362,""),"")</f>
        <v/>
      </c>
      <c r="T362" s="53" t="str">
        <f>IF(ISNUMBER($A362),YEAR($A362)&amp;"-"&amp;TEXT(MONTH($A362),"00"),"")</f>
        <v/>
      </c>
    </row>
    <row r="363">
      <c r="A363" s="47" t="n"/>
      <c r="B363" s="48" t="n"/>
      <c r="C363" s="48" t="n"/>
      <c r="D363" s="48" t="n"/>
      <c r="E363" s="48" t="n"/>
      <c r="F363" s="49" t="n"/>
      <c r="G363" s="49" t="n"/>
      <c r="H363" s="49" t="n"/>
      <c r="I363" s="49" t="n"/>
      <c r="J363" s="49" t="n"/>
      <c r="K363" s="49" t="n"/>
      <c r="L363" s="49" t="n"/>
      <c r="M363" s="49" t="n"/>
      <c r="N363" s="49" t="n"/>
      <c r="O363" s="49" t="n"/>
      <c r="P363" s="50" t="n"/>
      <c r="Q363" s="51" t="str">
        <f>IF(AND(ISNUMBER($F363),$F363&gt;0,ISNUMBER($G363)),$G363/$F363,"")</f>
        <v/>
      </c>
      <c r="R363" s="51" t="str">
        <f>IF(AND(ISNUMBER($F363),$F363&gt;0,ISNUMBER($H363)),$H363/$F363,"")</f>
        <v/>
      </c>
      <c r="S363" s="52" t="str">
        <f>IF(AND(ISNUMBER($J363),ISNUMBER($L363)),IF($L363&gt;0,$J363/$L363,""),"")</f>
        <v/>
      </c>
      <c r="T363" s="53" t="str">
        <f>IF(ISNUMBER($A363),YEAR($A363)&amp;"-"&amp;TEXT(MONTH($A363),"00"),"")</f>
        <v/>
      </c>
    </row>
    <row r="364">
      <c r="A364" s="47" t="n"/>
      <c r="B364" s="48" t="n"/>
      <c r="C364" s="48" t="n"/>
      <c r="D364" s="48" t="n"/>
      <c r="E364" s="48" t="n"/>
      <c r="F364" s="49" t="n"/>
      <c r="G364" s="49" t="n"/>
      <c r="H364" s="49" t="n"/>
      <c r="I364" s="49" t="n"/>
      <c r="J364" s="49" t="n"/>
      <c r="K364" s="49" t="n"/>
      <c r="L364" s="49" t="n"/>
      <c r="M364" s="49" t="n"/>
      <c r="N364" s="49" t="n"/>
      <c r="O364" s="49" t="n"/>
      <c r="P364" s="50" t="n"/>
      <c r="Q364" s="51" t="str">
        <f>IF(AND(ISNUMBER($F364),$F364&gt;0,ISNUMBER($G364)),$G364/$F364,"")</f>
        <v/>
      </c>
      <c r="R364" s="51" t="str">
        <f>IF(AND(ISNUMBER($F364),$F364&gt;0,ISNUMBER($H364)),$H364/$F364,"")</f>
        <v/>
      </c>
      <c r="S364" s="52" t="str">
        <f>IF(AND(ISNUMBER($J364),ISNUMBER($L364)),IF($L364&gt;0,$J364/$L364,""),"")</f>
        <v/>
      </c>
      <c r="T364" s="53" t="str">
        <f>IF(ISNUMBER($A364),YEAR($A364)&amp;"-"&amp;TEXT(MONTH($A364),"00"),"")</f>
        <v/>
      </c>
    </row>
    <row r="365">
      <c r="A365" s="47" t="n"/>
      <c r="B365" s="48" t="n"/>
      <c r="C365" s="48" t="n"/>
      <c r="D365" s="48" t="n"/>
      <c r="E365" s="48" t="n"/>
      <c r="F365" s="49" t="n"/>
      <c r="G365" s="49" t="n"/>
      <c r="H365" s="49" t="n"/>
      <c r="I365" s="49" t="n"/>
      <c r="J365" s="49" t="n"/>
      <c r="K365" s="49" t="n"/>
      <c r="L365" s="49" t="n"/>
      <c r="M365" s="49" t="n"/>
      <c r="N365" s="49" t="n"/>
      <c r="O365" s="49" t="n"/>
      <c r="P365" s="50" t="n"/>
      <c r="Q365" s="51" t="str">
        <f>IF(AND(ISNUMBER($F365),$F365&gt;0,ISNUMBER($G365)),$G365/$F365,"")</f>
        <v/>
      </c>
      <c r="R365" s="51" t="str">
        <f>IF(AND(ISNUMBER($F365),$F365&gt;0,ISNUMBER($H365)),$H365/$F365,"")</f>
        <v/>
      </c>
      <c r="S365" s="52" t="str">
        <f>IF(AND(ISNUMBER($J365),ISNUMBER($L365)),IF($L365&gt;0,$J365/$L365,""),"")</f>
        <v/>
      </c>
      <c r="T365" s="53" t="str">
        <f>IF(ISNUMBER($A365),YEAR($A365)&amp;"-"&amp;TEXT(MONTH($A365),"00"),"")</f>
        <v/>
      </c>
    </row>
    <row r="366">
      <c r="A366" s="47" t="n"/>
      <c r="B366" s="48" t="n"/>
      <c r="C366" s="48" t="n"/>
      <c r="D366" s="48" t="n"/>
      <c r="E366" s="48" t="n"/>
      <c r="F366" s="49" t="n"/>
      <c r="G366" s="49" t="n"/>
      <c r="H366" s="49" t="n"/>
      <c r="I366" s="49" t="n"/>
      <c r="J366" s="49" t="n"/>
      <c r="K366" s="49" t="n"/>
      <c r="L366" s="49" t="n"/>
      <c r="M366" s="49" t="n"/>
      <c r="N366" s="49" t="n"/>
      <c r="O366" s="49" t="n"/>
      <c r="P366" s="50" t="n"/>
      <c r="Q366" s="51" t="str">
        <f>IF(AND(ISNUMBER($F366),$F366&gt;0,ISNUMBER($G366)),$G366/$F366,"")</f>
        <v/>
      </c>
      <c r="R366" s="51" t="str">
        <f>IF(AND(ISNUMBER($F366),$F366&gt;0,ISNUMBER($H366)),$H366/$F366,"")</f>
        <v/>
      </c>
      <c r="S366" s="52" t="str">
        <f>IF(AND(ISNUMBER($J366),ISNUMBER($L366)),IF($L366&gt;0,$J366/$L366,""),"")</f>
        <v/>
      </c>
      <c r="T366" s="53" t="str">
        <f>IF(ISNUMBER($A366),YEAR($A366)&amp;"-"&amp;TEXT(MONTH($A366),"00"),"")</f>
        <v/>
      </c>
    </row>
    <row r="367">
      <c r="A367" s="47" t="n"/>
      <c r="B367" s="48" t="n"/>
      <c r="C367" s="48" t="n"/>
      <c r="D367" s="48" t="n"/>
      <c r="E367" s="48" t="n"/>
      <c r="F367" s="49" t="n"/>
      <c r="G367" s="49" t="n"/>
      <c r="H367" s="49" t="n"/>
      <c r="I367" s="49" t="n"/>
      <c r="J367" s="49" t="n"/>
      <c r="K367" s="49" t="n"/>
      <c r="L367" s="49" t="n"/>
      <c r="M367" s="49" t="n"/>
      <c r="N367" s="49" t="n"/>
      <c r="O367" s="49" t="n"/>
      <c r="P367" s="50" t="n"/>
      <c r="Q367" s="51" t="str">
        <f>IF(AND(ISNUMBER($F367),$F367&gt;0,ISNUMBER($G367)),$G367/$F367,"")</f>
        <v/>
      </c>
      <c r="R367" s="51" t="str">
        <f>IF(AND(ISNUMBER($F367),$F367&gt;0,ISNUMBER($H367)),$H367/$F367,"")</f>
        <v/>
      </c>
      <c r="S367" s="52" t="str">
        <f>IF(AND(ISNUMBER($J367),ISNUMBER($L367)),IF($L367&gt;0,$J367/$L367,""),"")</f>
        <v/>
      </c>
      <c r="T367" s="53" t="str">
        <f>IF(ISNUMBER($A367),YEAR($A367)&amp;"-"&amp;TEXT(MONTH($A367),"00"),"")</f>
        <v/>
      </c>
    </row>
    <row r="368">
      <c r="A368" s="47" t="n"/>
      <c r="B368" s="48" t="n"/>
      <c r="C368" s="48" t="n"/>
      <c r="D368" s="48" t="n"/>
      <c r="E368" s="48" t="n"/>
      <c r="F368" s="49" t="n"/>
      <c r="G368" s="49" t="n"/>
      <c r="H368" s="49" t="n"/>
      <c r="I368" s="49" t="n"/>
      <c r="J368" s="49" t="n"/>
      <c r="K368" s="49" t="n"/>
      <c r="L368" s="49" t="n"/>
      <c r="M368" s="49" t="n"/>
      <c r="N368" s="49" t="n"/>
      <c r="O368" s="49" t="n"/>
      <c r="P368" s="50" t="n"/>
      <c r="Q368" s="51" t="str">
        <f>IF(AND(ISNUMBER($F368),$F368&gt;0,ISNUMBER($G368)),$G368/$F368,"")</f>
        <v/>
      </c>
      <c r="R368" s="51" t="str">
        <f>IF(AND(ISNUMBER($F368),$F368&gt;0,ISNUMBER($H368)),$H368/$F368,"")</f>
        <v/>
      </c>
      <c r="S368" s="52" t="str">
        <f>IF(AND(ISNUMBER($J368),ISNUMBER($L368)),IF($L368&gt;0,$J368/$L368,""),"")</f>
        <v/>
      </c>
      <c r="T368" s="53" t="str">
        <f>IF(ISNUMBER($A368),YEAR($A368)&amp;"-"&amp;TEXT(MONTH($A368),"00"),"")</f>
        <v/>
      </c>
    </row>
    <row r="369">
      <c r="A369" s="47" t="n"/>
      <c r="B369" s="48" t="n"/>
      <c r="C369" s="48" t="n"/>
      <c r="D369" s="48" t="n"/>
      <c r="E369" s="48" t="n"/>
      <c r="F369" s="49" t="n"/>
      <c r="G369" s="49" t="n"/>
      <c r="H369" s="49" t="n"/>
      <c r="I369" s="49" t="n"/>
      <c r="J369" s="49" t="n"/>
      <c r="K369" s="49" t="n"/>
      <c r="L369" s="49" t="n"/>
      <c r="M369" s="49" t="n"/>
      <c r="N369" s="49" t="n"/>
      <c r="O369" s="49" t="n"/>
      <c r="P369" s="50" t="n"/>
      <c r="Q369" s="51" t="str">
        <f>IF(AND(ISNUMBER($F369),$F369&gt;0,ISNUMBER($G369)),$G369/$F369,"")</f>
        <v/>
      </c>
      <c r="R369" s="51" t="str">
        <f>IF(AND(ISNUMBER($F369),$F369&gt;0,ISNUMBER($H369)),$H369/$F369,"")</f>
        <v/>
      </c>
      <c r="S369" s="52" t="str">
        <f>IF(AND(ISNUMBER($J369),ISNUMBER($L369)),IF($L369&gt;0,$J369/$L369,""),"")</f>
        <v/>
      </c>
      <c r="T369" s="53" t="str">
        <f>IF(ISNUMBER($A369),YEAR($A369)&amp;"-"&amp;TEXT(MONTH($A369),"00"),"")</f>
        <v/>
      </c>
    </row>
    <row r="370">
      <c r="A370" s="47" t="n"/>
      <c r="B370" s="48" t="n"/>
      <c r="C370" s="48" t="n"/>
      <c r="D370" s="48" t="n"/>
      <c r="E370" s="48" t="n"/>
      <c r="F370" s="49" t="n"/>
      <c r="G370" s="49" t="n"/>
      <c r="H370" s="49" t="n"/>
      <c r="I370" s="49" t="n"/>
      <c r="J370" s="49" t="n"/>
      <c r="K370" s="49" t="n"/>
      <c r="L370" s="49" t="n"/>
      <c r="M370" s="49" t="n"/>
      <c r="N370" s="49" t="n"/>
      <c r="O370" s="49" t="n"/>
      <c r="P370" s="50" t="n"/>
      <c r="Q370" s="51" t="str">
        <f>IF(AND(ISNUMBER($F370),$F370&gt;0,ISNUMBER($G370)),$G370/$F370,"")</f>
        <v/>
      </c>
      <c r="R370" s="51" t="str">
        <f>IF(AND(ISNUMBER($F370),$F370&gt;0,ISNUMBER($H370)),$H370/$F370,"")</f>
        <v/>
      </c>
      <c r="S370" s="52" t="str">
        <f>IF(AND(ISNUMBER($J370),ISNUMBER($L370)),IF($L370&gt;0,$J370/$L370,""),"")</f>
        <v/>
      </c>
      <c r="T370" s="53" t="str">
        <f>IF(ISNUMBER($A370),YEAR($A370)&amp;"-"&amp;TEXT(MONTH($A370),"00"),"")</f>
        <v/>
      </c>
    </row>
    <row r="371">
      <c r="A371" s="47" t="n"/>
      <c r="B371" s="48" t="n"/>
      <c r="C371" s="48" t="n"/>
      <c r="D371" s="48" t="n"/>
      <c r="E371" s="48" t="n"/>
      <c r="F371" s="49" t="n"/>
      <c r="G371" s="49" t="n"/>
      <c r="H371" s="49" t="n"/>
      <c r="I371" s="49" t="n"/>
      <c r="J371" s="49" t="n"/>
      <c r="K371" s="49" t="n"/>
      <c r="L371" s="49" t="n"/>
      <c r="M371" s="49" t="n"/>
      <c r="N371" s="49" t="n"/>
      <c r="O371" s="49" t="n"/>
      <c r="P371" s="50" t="n"/>
      <c r="Q371" s="51" t="str">
        <f>IF(AND(ISNUMBER($F371),$F371&gt;0,ISNUMBER($G371)),$G371/$F371,"")</f>
        <v/>
      </c>
      <c r="R371" s="51" t="str">
        <f>IF(AND(ISNUMBER($F371),$F371&gt;0,ISNUMBER($H371)),$H371/$F371,"")</f>
        <v/>
      </c>
      <c r="S371" s="52" t="str">
        <f>IF(AND(ISNUMBER($J371),ISNUMBER($L371)),IF($L371&gt;0,$J371/$L371,""),"")</f>
        <v/>
      </c>
      <c r="T371" s="53" t="str">
        <f>IF(ISNUMBER($A371),YEAR($A371)&amp;"-"&amp;TEXT(MONTH($A371),"00"),"")</f>
        <v/>
      </c>
    </row>
    <row r="372">
      <c r="A372" s="47" t="n"/>
      <c r="B372" s="48" t="n"/>
      <c r="C372" s="48" t="n"/>
      <c r="D372" s="48" t="n"/>
      <c r="E372" s="48" t="n"/>
      <c r="F372" s="49" t="n"/>
      <c r="G372" s="49" t="n"/>
      <c r="H372" s="49" t="n"/>
      <c r="I372" s="49" t="n"/>
      <c r="J372" s="49" t="n"/>
      <c r="K372" s="49" t="n"/>
      <c r="L372" s="49" t="n"/>
      <c r="M372" s="49" t="n"/>
      <c r="N372" s="49" t="n"/>
      <c r="O372" s="49" t="n"/>
      <c r="P372" s="50" t="n"/>
      <c r="Q372" s="51" t="str">
        <f>IF(AND(ISNUMBER($F372),$F372&gt;0,ISNUMBER($G372)),$G372/$F372,"")</f>
        <v/>
      </c>
      <c r="R372" s="51" t="str">
        <f>IF(AND(ISNUMBER($F372),$F372&gt;0,ISNUMBER($H372)),$H372/$F372,"")</f>
        <v/>
      </c>
      <c r="S372" s="52" t="str">
        <f>IF(AND(ISNUMBER($J372),ISNUMBER($L372)),IF($L372&gt;0,$J372/$L372,""),"")</f>
        <v/>
      </c>
      <c r="T372" s="53" t="str">
        <f>IF(ISNUMBER($A372),YEAR($A372)&amp;"-"&amp;TEXT(MONTH($A372),"00"),"")</f>
        <v/>
      </c>
    </row>
    <row r="373">
      <c r="A373" s="47" t="n"/>
      <c r="B373" s="48" t="n"/>
      <c r="C373" s="48" t="n"/>
      <c r="D373" s="48" t="n"/>
      <c r="E373" s="48" t="n"/>
      <c r="F373" s="49" t="n"/>
      <c r="G373" s="49" t="n"/>
      <c r="H373" s="49" t="n"/>
      <c r="I373" s="49" t="n"/>
      <c r="J373" s="49" t="n"/>
      <c r="K373" s="49" t="n"/>
      <c r="L373" s="49" t="n"/>
      <c r="M373" s="49" t="n"/>
      <c r="N373" s="49" t="n"/>
      <c r="O373" s="49" t="n"/>
      <c r="P373" s="50" t="n"/>
      <c r="Q373" s="51" t="str">
        <f>IF(AND(ISNUMBER($F373),$F373&gt;0,ISNUMBER($G373)),$G373/$F373,"")</f>
        <v/>
      </c>
      <c r="R373" s="51" t="str">
        <f>IF(AND(ISNUMBER($F373),$F373&gt;0,ISNUMBER($H373)),$H373/$F373,"")</f>
        <v/>
      </c>
      <c r="S373" s="52" t="str">
        <f>IF(AND(ISNUMBER($J373),ISNUMBER($L373)),IF($L373&gt;0,$J373/$L373,""),"")</f>
        <v/>
      </c>
      <c r="T373" s="53" t="str">
        <f>IF(ISNUMBER($A373),YEAR($A373)&amp;"-"&amp;TEXT(MONTH($A373),"00"),"")</f>
        <v/>
      </c>
    </row>
    <row r="374">
      <c r="A374" s="47" t="n"/>
      <c r="B374" s="48" t="n"/>
      <c r="C374" s="48" t="n"/>
      <c r="D374" s="48" t="n"/>
      <c r="E374" s="48" t="n"/>
      <c r="F374" s="49" t="n"/>
      <c r="G374" s="49" t="n"/>
      <c r="H374" s="49" t="n"/>
      <c r="I374" s="49" t="n"/>
      <c r="J374" s="49" t="n"/>
      <c r="K374" s="49" t="n"/>
      <c r="L374" s="49" t="n"/>
      <c r="M374" s="49" t="n"/>
      <c r="N374" s="49" t="n"/>
      <c r="O374" s="49" t="n"/>
      <c r="P374" s="50" t="n"/>
      <c r="Q374" s="51" t="str">
        <f>IF(AND(ISNUMBER($F374),$F374&gt;0,ISNUMBER($G374)),$G374/$F374,"")</f>
        <v/>
      </c>
      <c r="R374" s="51" t="str">
        <f>IF(AND(ISNUMBER($F374),$F374&gt;0,ISNUMBER($H374)),$H374/$F374,"")</f>
        <v/>
      </c>
      <c r="S374" s="52" t="str">
        <f>IF(AND(ISNUMBER($J374),ISNUMBER($L374)),IF($L374&gt;0,$J374/$L374,""),"")</f>
        <v/>
      </c>
      <c r="T374" s="53" t="str">
        <f>IF(ISNUMBER($A374),YEAR($A374)&amp;"-"&amp;TEXT(MONTH($A374),"00"),"")</f>
        <v/>
      </c>
    </row>
    <row r="375">
      <c r="A375" s="47" t="n"/>
      <c r="B375" s="48" t="n"/>
      <c r="C375" s="48" t="n"/>
      <c r="D375" s="48" t="n"/>
      <c r="E375" s="48" t="n"/>
      <c r="F375" s="49" t="n"/>
      <c r="G375" s="49" t="n"/>
      <c r="H375" s="49" t="n"/>
      <c r="I375" s="49" t="n"/>
      <c r="J375" s="49" t="n"/>
      <c r="K375" s="49" t="n"/>
      <c r="L375" s="49" t="n"/>
      <c r="M375" s="49" t="n"/>
      <c r="N375" s="49" t="n"/>
      <c r="O375" s="49" t="n"/>
      <c r="P375" s="50" t="n"/>
      <c r="Q375" s="51" t="str">
        <f>IF(AND(ISNUMBER($F375),$F375&gt;0,ISNUMBER($G375)),$G375/$F375,"")</f>
        <v/>
      </c>
      <c r="R375" s="51" t="str">
        <f>IF(AND(ISNUMBER($F375),$F375&gt;0,ISNUMBER($H375)),$H375/$F375,"")</f>
        <v/>
      </c>
      <c r="S375" s="52" t="str">
        <f>IF(AND(ISNUMBER($J375),ISNUMBER($L375)),IF($L375&gt;0,$J375/$L375,""),"")</f>
        <v/>
      </c>
      <c r="T375" s="53" t="str">
        <f>IF(ISNUMBER($A375),YEAR($A375)&amp;"-"&amp;TEXT(MONTH($A375),"00"),"")</f>
        <v/>
      </c>
    </row>
    <row r="376">
      <c r="A376" s="47" t="n"/>
      <c r="B376" s="48" t="n"/>
      <c r="C376" s="48" t="n"/>
      <c r="D376" s="48" t="n"/>
      <c r="E376" s="48" t="n"/>
      <c r="F376" s="49" t="n"/>
      <c r="G376" s="49" t="n"/>
      <c r="H376" s="49" t="n"/>
      <c r="I376" s="49" t="n"/>
      <c r="J376" s="49" t="n"/>
      <c r="K376" s="49" t="n"/>
      <c r="L376" s="49" t="n"/>
      <c r="M376" s="49" t="n"/>
      <c r="N376" s="49" t="n"/>
      <c r="O376" s="49" t="n"/>
      <c r="P376" s="50" t="n"/>
      <c r="Q376" s="51" t="str">
        <f>IF(AND(ISNUMBER($F376),$F376&gt;0,ISNUMBER($G376)),$G376/$F376,"")</f>
        <v/>
      </c>
      <c r="R376" s="51" t="str">
        <f>IF(AND(ISNUMBER($F376),$F376&gt;0,ISNUMBER($H376)),$H376/$F376,"")</f>
        <v/>
      </c>
      <c r="S376" s="52" t="str">
        <f>IF(AND(ISNUMBER($J376),ISNUMBER($L376)),IF($L376&gt;0,$J376/$L376,""),"")</f>
        <v/>
      </c>
      <c r="T376" s="53" t="str">
        <f>IF(ISNUMBER($A376),YEAR($A376)&amp;"-"&amp;TEXT(MONTH($A376),"00"),"")</f>
        <v/>
      </c>
    </row>
    <row r="377">
      <c r="A377" s="47" t="n"/>
      <c r="B377" s="48" t="n"/>
      <c r="C377" s="48" t="n"/>
      <c r="D377" s="48" t="n"/>
      <c r="E377" s="48" t="n"/>
      <c r="F377" s="49" t="n"/>
      <c r="G377" s="49" t="n"/>
      <c r="H377" s="49" t="n"/>
      <c r="I377" s="49" t="n"/>
      <c r="J377" s="49" t="n"/>
      <c r="K377" s="49" t="n"/>
      <c r="L377" s="49" t="n"/>
      <c r="M377" s="49" t="n"/>
      <c r="N377" s="49" t="n"/>
      <c r="O377" s="49" t="n"/>
      <c r="P377" s="50" t="n"/>
      <c r="Q377" s="51" t="str">
        <f>IF(AND(ISNUMBER($F377),$F377&gt;0,ISNUMBER($G377)),$G377/$F377,"")</f>
        <v/>
      </c>
      <c r="R377" s="51" t="str">
        <f>IF(AND(ISNUMBER($F377),$F377&gt;0,ISNUMBER($H377)),$H377/$F377,"")</f>
        <v/>
      </c>
      <c r="S377" s="52" t="str">
        <f>IF(AND(ISNUMBER($J377),ISNUMBER($L377)),IF($L377&gt;0,$J377/$L377,""),"")</f>
        <v/>
      </c>
      <c r="T377" s="53" t="str">
        <f>IF(ISNUMBER($A377),YEAR($A377)&amp;"-"&amp;TEXT(MONTH($A377),"00"),"")</f>
        <v/>
      </c>
    </row>
    <row r="378">
      <c r="A378" s="47" t="n"/>
      <c r="B378" s="48" t="n"/>
      <c r="C378" s="48" t="n"/>
      <c r="D378" s="48" t="n"/>
      <c r="E378" s="48" t="n"/>
      <c r="F378" s="49" t="n"/>
      <c r="G378" s="49" t="n"/>
      <c r="H378" s="49" t="n"/>
      <c r="I378" s="49" t="n"/>
      <c r="J378" s="49" t="n"/>
      <c r="K378" s="49" t="n"/>
      <c r="L378" s="49" t="n"/>
      <c r="M378" s="49" t="n"/>
      <c r="N378" s="49" t="n"/>
      <c r="O378" s="49" t="n"/>
      <c r="P378" s="50" t="n"/>
      <c r="Q378" s="51" t="str">
        <f>IF(AND(ISNUMBER($F378),$F378&gt;0,ISNUMBER($G378)),$G378/$F378,"")</f>
        <v/>
      </c>
      <c r="R378" s="51" t="str">
        <f>IF(AND(ISNUMBER($F378),$F378&gt;0,ISNUMBER($H378)),$H378/$F378,"")</f>
        <v/>
      </c>
      <c r="S378" s="52" t="str">
        <f>IF(AND(ISNUMBER($J378),ISNUMBER($L378)),IF($L378&gt;0,$J378/$L378,""),"")</f>
        <v/>
      </c>
      <c r="T378" s="53" t="str">
        <f>IF(ISNUMBER($A378),YEAR($A378)&amp;"-"&amp;TEXT(MONTH($A378),"00"),"")</f>
        <v/>
      </c>
    </row>
    <row r="379">
      <c r="A379" s="47" t="n"/>
      <c r="B379" s="48" t="n"/>
      <c r="C379" s="48" t="n"/>
      <c r="D379" s="48" t="n"/>
      <c r="E379" s="48" t="n"/>
      <c r="F379" s="49" t="n"/>
      <c r="G379" s="49" t="n"/>
      <c r="H379" s="49" t="n"/>
      <c r="I379" s="49" t="n"/>
      <c r="J379" s="49" t="n"/>
      <c r="K379" s="49" t="n"/>
      <c r="L379" s="49" t="n"/>
      <c r="M379" s="49" t="n"/>
      <c r="N379" s="49" t="n"/>
      <c r="O379" s="49" t="n"/>
      <c r="P379" s="50" t="n"/>
      <c r="Q379" s="51" t="str">
        <f>IF(AND(ISNUMBER($F379),$F379&gt;0,ISNUMBER($G379)),$G379/$F379,"")</f>
        <v/>
      </c>
      <c r="R379" s="51" t="str">
        <f>IF(AND(ISNUMBER($F379),$F379&gt;0,ISNUMBER($H379)),$H379/$F379,"")</f>
        <v/>
      </c>
      <c r="S379" s="52" t="str">
        <f>IF(AND(ISNUMBER($J379),ISNUMBER($L379)),IF($L379&gt;0,$J379/$L379,""),"")</f>
        <v/>
      </c>
      <c r="T379" s="53" t="str">
        <f>IF(ISNUMBER($A379),YEAR($A379)&amp;"-"&amp;TEXT(MONTH($A379),"00"),"")</f>
        <v/>
      </c>
    </row>
    <row r="380">
      <c r="A380" s="47" t="n"/>
      <c r="B380" s="48" t="n"/>
      <c r="C380" s="48" t="n"/>
      <c r="D380" s="48" t="n"/>
      <c r="E380" s="48" t="n"/>
      <c r="F380" s="49" t="n"/>
      <c r="G380" s="49" t="n"/>
      <c r="H380" s="49" t="n"/>
      <c r="I380" s="49" t="n"/>
      <c r="J380" s="49" t="n"/>
      <c r="K380" s="49" t="n"/>
      <c r="L380" s="49" t="n"/>
      <c r="M380" s="49" t="n"/>
      <c r="N380" s="49" t="n"/>
      <c r="O380" s="49" t="n"/>
      <c r="P380" s="50" t="n"/>
      <c r="Q380" s="51" t="str">
        <f>IF(AND(ISNUMBER($F380),$F380&gt;0,ISNUMBER($G380)),$G380/$F380,"")</f>
        <v/>
      </c>
      <c r="R380" s="51" t="str">
        <f>IF(AND(ISNUMBER($F380),$F380&gt;0,ISNUMBER($H380)),$H380/$F380,"")</f>
        <v/>
      </c>
      <c r="S380" s="52" t="str">
        <f>IF(AND(ISNUMBER($J380),ISNUMBER($L380)),IF($L380&gt;0,$J380/$L380,""),"")</f>
        <v/>
      </c>
      <c r="T380" s="53" t="str">
        <f>IF(ISNUMBER($A380),YEAR($A380)&amp;"-"&amp;TEXT(MONTH($A380),"00"),"")</f>
        <v/>
      </c>
    </row>
    <row r="381">
      <c r="A381" s="47" t="n"/>
      <c r="B381" s="48" t="n"/>
      <c r="C381" s="48" t="n"/>
      <c r="D381" s="48" t="n"/>
      <c r="E381" s="48" t="n"/>
      <c r="F381" s="49" t="n"/>
      <c r="G381" s="49" t="n"/>
      <c r="H381" s="49" t="n"/>
      <c r="I381" s="49" t="n"/>
      <c r="J381" s="49" t="n"/>
      <c r="K381" s="49" t="n"/>
      <c r="L381" s="49" t="n"/>
      <c r="M381" s="49" t="n"/>
      <c r="N381" s="49" t="n"/>
      <c r="O381" s="49" t="n"/>
      <c r="P381" s="50" t="n"/>
      <c r="Q381" s="51" t="str">
        <f>IF(AND(ISNUMBER($F381),$F381&gt;0,ISNUMBER($G381)),$G381/$F381,"")</f>
        <v/>
      </c>
      <c r="R381" s="51" t="str">
        <f>IF(AND(ISNUMBER($F381),$F381&gt;0,ISNUMBER($H381)),$H381/$F381,"")</f>
        <v/>
      </c>
      <c r="S381" s="52" t="str">
        <f>IF(AND(ISNUMBER($J381),ISNUMBER($L381)),IF($L381&gt;0,$J381/$L381,""),"")</f>
        <v/>
      </c>
      <c r="T381" s="53" t="str">
        <f>IF(ISNUMBER($A381),YEAR($A381)&amp;"-"&amp;TEXT(MONTH($A381),"00"),"")</f>
        <v/>
      </c>
    </row>
    <row r="382">
      <c r="A382" s="47" t="n"/>
      <c r="B382" s="48" t="n"/>
      <c r="C382" s="48" t="n"/>
      <c r="D382" s="48" t="n"/>
      <c r="E382" s="48" t="n"/>
      <c r="F382" s="49" t="n"/>
      <c r="G382" s="49" t="n"/>
      <c r="H382" s="49" t="n"/>
      <c r="I382" s="49" t="n"/>
      <c r="J382" s="49" t="n"/>
      <c r="K382" s="49" t="n"/>
      <c r="L382" s="49" t="n"/>
      <c r="M382" s="49" t="n"/>
      <c r="N382" s="49" t="n"/>
      <c r="O382" s="49" t="n"/>
      <c r="P382" s="50" t="n"/>
      <c r="Q382" s="51" t="str">
        <f>IF(AND(ISNUMBER($F382),$F382&gt;0,ISNUMBER($G382)),$G382/$F382,"")</f>
        <v/>
      </c>
      <c r="R382" s="51" t="str">
        <f>IF(AND(ISNUMBER($F382),$F382&gt;0,ISNUMBER($H382)),$H382/$F382,"")</f>
        <v/>
      </c>
      <c r="S382" s="52" t="str">
        <f>IF(AND(ISNUMBER($J382),ISNUMBER($L382)),IF($L382&gt;0,$J382/$L382,""),"")</f>
        <v/>
      </c>
      <c r="T382" s="53" t="str">
        <f>IF(ISNUMBER($A382),YEAR($A382)&amp;"-"&amp;TEXT(MONTH($A382),"00"),"")</f>
        <v/>
      </c>
    </row>
    <row r="383">
      <c r="A383" s="47" t="n"/>
      <c r="B383" s="48" t="n"/>
      <c r="C383" s="48" t="n"/>
      <c r="D383" s="48" t="n"/>
      <c r="E383" s="48" t="n"/>
      <c r="F383" s="49" t="n"/>
      <c r="G383" s="49" t="n"/>
      <c r="H383" s="49" t="n"/>
      <c r="I383" s="49" t="n"/>
      <c r="J383" s="49" t="n"/>
      <c r="K383" s="49" t="n"/>
      <c r="L383" s="49" t="n"/>
      <c r="M383" s="49" t="n"/>
      <c r="N383" s="49" t="n"/>
      <c r="O383" s="49" t="n"/>
      <c r="P383" s="50" t="n"/>
      <c r="Q383" s="51" t="str">
        <f>IF(AND(ISNUMBER($F383),$F383&gt;0,ISNUMBER($G383)),$G383/$F383,"")</f>
        <v/>
      </c>
      <c r="R383" s="51" t="str">
        <f>IF(AND(ISNUMBER($F383),$F383&gt;0,ISNUMBER($H383)),$H383/$F383,"")</f>
        <v/>
      </c>
      <c r="S383" s="52" t="str">
        <f>IF(AND(ISNUMBER($J383),ISNUMBER($L383)),IF($L383&gt;0,$J383/$L383,""),"")</f>
        <v/>
      </c>
      <c r="T383" s="53" t="str">
        <f>IF(ISNUMBER($A383),YEAR($A383)&amp;"-"&amp;TEXT(MONTH($A383),"00"),"")</f>
        <v/>
      </c>
    </row>
    <row r="384">
      <c r="A384" s="47" t="n"/>
      <c r="B384" s="48" t="n"/>
      <c r="C384" s="48" t="n"/>
      <c r="D384" s="48" t="n"/>
      <c r="E384" s="48" t="n"/>
      <c r="F384" s="49" t="n"/>
      <c r="G384" s="49" t="n"/>
      <c r="H384" s="49" t="n"/>
      <c r="I384" s="49" t="n"/>
      <c r="J384" s="49" t="n"/>
      <c r="K384" s="49" t="n"/>
      <c r="L384" s="49" t="n"/>
      <c r="M384" s="49" t="n"/>
      <c r="N384" s="49" t="n"/>
      <c r="O384" s="49" t="n"/>
      <c r="P384" s="50" t="n"/>
      <c r="Q384" s="51" t="str">
        <f>IF(AND(ISNUMBER($F384),$F384&gt;0,ISNUMBER($G384)),$G384/$F384,"")</f>
        <v/>
      </c>
      <c r="R384" s="51" t="str">
        <f>IF(AND(ISNUMBER($F384),$F384&gt;0,ISNUMBER($H384)),$H384/$F384,"")</f>
        <v/>
      </c>
      <c r="S384" s="52" t="str">
        <f>IF(AND(ISNUMBER($J384),ISNUMBER($L384)),IF($L384&gt;0,$J384/$L384,""),"")</f>
        <v/>
      </c>
      <c r="T384" s="53" t="str">
        <f>IF(ISNUMBER($A384),YEAR($A384)&amp;"-"&amp;TEXT(MONTH($A384),"00"),"")</f>
        <v/>
      </c>
    </row>
    <row r="385">
      <c r="A385" s="47" t="n"/>
      <c r="B385" s="48" t="n"/>
      <c r="C385" s="48" t="n"/>
      <c r="D385" s="48" t="n"/>
      <c r="E385" s="48" t="n"/>
      <c r="F385" s="49" t="n"/>
      <c r="G385" s="49" t="n"/>
      <c r="H385" s="49" t="n"/>
      <c r="I385" s="49" t="n"/>
      <c r="J385" s="49" t="n"/>
      <c r="K385" s="49" t="n"/>
      <c r="L385" s="49" t="n"/>
      <c r="M385" s="49" t="n"/>
      <c r="N385" s="49" t="n"/>
      <c r="O385" s="49" t="n"/>
      <c r="P385" s="50" t="n"/>
      <c r="Q385" s="51" t="str">
        <f>IF(AND(ISNUMBER($F385),$F385&gt;0,ISNUMBER($G385)),$G385/$F385,"")</f>
        <v/>
      </c>
      <c r="R385" s="51" t="str">
        <f>IF(AND(ISNUMBER($F385),$F385&gt;0,ISNUMBER($H385)),$H385/$F385,"")</f>
        <v/>
      </c>
      <c r="S385" s="52" t="str">
        <f>IF(AND(ISNUMBER($J385),ISNUMBER($L385)),IF($L385&gt;0,$J385/$L385,""),"")</f>
        <v/>
      </c>
      <c r="T385" s="53" t="str">
        <f>IF(ISNUMBER($A385),YEAR($A385)&amp;"-"&amp;TEXT(MONTH($A385),"00"),"")</f>
        <v/>
      </c>
    </row>
    <row r="386">
      <c r="A386" s="47" t="n"/>
      <c r="B386" s="48" t="n"/>
      <c r="C386" s="48" t="n"/>
      <c r="D386" s="48" t="n"/>
      <c r="E386" s="48" t="n"/>
      <c r="F386" s="49" t="n"/>
      <c r="G386" s="49" t="n"/>
      <c r="H386" s="49" t="n"/>
      <c r="I386" s="49" t="n"/>
      <c r="J386" s="49" t="n"/>
      <c r="K386" s="49" t="n"/>
      <c r="L386" s="49" t="n"/>
      <c r="M386" s="49" t="n"/>
      <c r="N386" s="49" t="n"/>
      <c r="O386" s="49" t="n"/>
      <c r="P386" s="50" t="n"/>
      <c r="Q386" s="51" t="str">
        <f>IF(AND(ISNUMBER($F386),$F386&gt;0,ISNUMBER($G386)),$G386/$F386,"")</f>
        <v/>
      </c>
      <c r="R386" s="51" t="str">
        <f>IF(AND(ISNUMBER($F386),$F386&gt;0,ISNUMBER($H386)),$H386/$F386,"")</f>
        <v/>
      </c>
      <c r="S386" s="52" t="str">
        <f>IF(AND(ISNUMBER($J386),ISNUMBER($L386)),IF($L386&gt;0,$J386/$L386,""),"")</f>
        <v/>
      </c>
      <c r="T386" s="53" t="str">
        <f>IF(ISNUMBER($A386),YEAR($A386)&amp;"-"&amp;TEXT(MONTH($A386),"00"),"")</f>
        <v/>
      </c>
    </row>
    <row r="387">
      <c r="A387" s="47" t="n"/>
      <c r="B387" s="48" t="n"/>
      <c r="C387" s="48" t="n"/>
      <c r="D387" s="48" t="n"/>
      <c r="E387" s="48" t="n"/>
      <c r="F387" s="49" t="n"/>
      <c r="G387" s="49" t="n"/>
      <c r="H387" s="49" t="n"/>
      <c r="I387" s="49" t="n"/>
      <c r="J387" s="49" t="n"/>
      <c r="K387" s="49" t="n"/>
      <c r="L387" s="49" t="n"/>
      <c r="M387" s="49" t="n"/>
      <c r="N387" s="49" t="n"/>
      <c r="O387" s="49" t="n"/>
      <c r="P387" s="50" t="n"/>
      <c r="Q387" s="51" t="str">
        <f>IF(AND(ISNUMBER($F387),$F387&gt;0,ISNUMBER($G387)),$G387/$F387,"")</f>
        <v/>
      </c>
      <c r="R387" s="51" t="str">
        <f>IF(AND(ISNUMBER($F387),$F387&gt;0,ISNUMBER($H387)),$H387/$F387,"")</f>
        <v/>
      </c>
      <c r="S387" s="52" t="str">
        <f>IF(AND(ISNUMBER($J387),ISNUMBER($L387)),IF($L387&gt;0,$J387/$L387,""),"")</f>
        <v/>
      </c>
      <c r="T387" s="53" t="str">
        <f>IF(ISNUMBER($A387),YEAR($A387)&amp;"-"&amp;TEXT(MONTH($A387),"00"),"")</f>
        <v/>
      </c>
    </row>
    <row r="388">
      <c r="A388" s="47" t="n"/>
      <c r="B388" s="48" t="n"/>
      <c r="C388" s="48" t="n"/>
      <c r="D388" s="48" t="n"/>
      <c r="E388" s="48" t="n"/>
      <c r="F388" s="49" t="n"/>
      <c r="G388" s="49" t="n"/>
      <c r="H388" s="49" t="n"/>
      <c r="I388" s="49" t="n"/>
      <c r="J388" s="49" t="n"/>
      <c r="K388" s="49" t="n"/>
      <c r="L388" s="49" t="n"/>
      <c r="M388" s="49" t="n"/>
      <c r="N388" s="49" t="n"/>
      <c r="O388" s="49" t="n"/>
      <c r="P388" s="50" t="n"/>
      <c r="Q388" s="51" t="str">
        <f>IF(AND(ISNUMBER($F388),$F388&gt;0,ISNUMBER($G388)),$G388/$F388,"")</f>
        <v/>
      </c>
      <c r="R388" s="51" t="str">
        <f>IF(AND(ISNUMBER($F388),$F388&gt;0,ISNUMBER($H388)),$H388/$F388,"")</f>
        <v/>
      </c>
      <c r="S388" s="52" t="str">
        <f>IF(AND(ISNUMBER($J388),ISNUMBER($L388)),IF($L388&gt;0,$J388/$L388,""),"")</f>
        <v/>
      </c>
      <c r="T388" s="53" t="str">
        <f>IF(ISNUMBER($A388),YEAR($A388)&amp;"-"&amp;TEXT(MONTH($A388),"00"),"")</f>
        <v/>
      </c>
    </row>
    <row r="389">
      <c r="A389" s="47" t="n"/>
      <c r="B389" s="48" t="n"/>
      <c r="C389" s="48" t="n"/>
      <c r="D389" s="48" t="n"/>
      <c r="E389" s="48" t="n"/>
      <c r="F389" s="49" t="n"/>
      <c r="G389" s="49" t="n"/>
      <c r="H389" s="49" t="n"/>
      <c r="I389" s="49" t="n"/>
      <c r="J389" s="49" t="n"/>
      <c r="K389" s="49" t="n"/>
      <c r="L389" s="49" t="n"/>
      <c r="M389" s="49" t="n"/>
      <c r="N389" s="49" t="n"/>
      <c r="O389" s="49" t="n"/>
      <c r="P389" s="50" t="n"/>
      <c r="Q389" s="51" t="str">
        <f>IF(AND(ISNUMBER($F389),$F389&gt;0,ISNUMBER($G389)),$G389/$F389,"")</f>
        <v/>
      </c>
      <c r="R389" s="51" t="str">
        <f>IF(AND(ISNUMBER($F389),$F389&gt;0,ISNUMBER($H389)),$H389/$F389,"")</f>
        <v/>
      </c>
      <c r="S389" s="52" t="str">
        <f>IF(AND(ISNUMBER($J389),ISNUMBER($L389)),IF($L389&gt;0,$J389/$L389,""),"")</f>
        <v/>
      </c>
      <c r="T389" s="53" t="str">
        <f>IF(ISNUMBER($A389),YEAR($A389)&amp;"-"&amp;TEXT(MONTH($A389),"00"),"")</f>
        <v/>
      </c>
    </row>
    <row r="390">
      <c r="A390" s="47" t="n"/>
      <c r="B390" s="48" t="n"/>
      <c r="C390" s="48" t="n"/>
      <c r="D390" s="48" t="n"/>
      <c r="E390" s="48" t="n"/>
      <c r="F390" s="49" t="n"/>
      <c r="G390" s="49" t="n"/>
      <c r="H390" s="49" t="n"/>
      <c r="I390" s="49" t="n"/>
      <c r="J390" s="49" t="n"/>
      <c r="K390" s="49" t="n"/>
      <c r="L390" s="49" t="n"/>
      <c r="M390" s="49" t="n"/>
      <c r="N390" s="49" t="n"/>
      <c r="O390" s="49" t="n"/>
      <c r="P390" s="50" t="n"/>
      <c r="Q390" s="51" t="str">
        <f>IF(AND(ISNUMBER($F390),$F390&gt;0,ISNUMBER($G390)),$G390/$F390,"")</f>
        <v/>
      </c>
      <c r="R390" s="51" t="str">
        <f>IF(AND(ISNUMBER($F390),$F390&gt;0,ISNUMBER($H390)),$H390/$F390,"")</f>
        <v/>
      </c>
      <c r="S390" s="52" t="str">
        <f>IF(AND(ISNUMBER($J390),ISNUMBER($L390)),IF($L390&gt;0,$J390/$L390,""),"")</f>
        <v/>
      </c>
      <c r="T390" s="53" t="str">
        <f>IF(ISNUMBER($A390),YEAR($A390)&amp;"-"&amp;TEXT(MONTH($A390),"00"),"")</f>
        <v/>
      </c>
    </row>
    <row r="391">
      <c r="A391" s="47" t="n"/>
      <c r="B391" s="48" t="n"/>
      <c r="C391" s="48" t="n"/>
      <c r="D391" s="48" t="n"/>
      <c r="E391" s="48" t="n"/>
      <c r="F391" s="49" t="n"/>
      <c r="G391" s="49" t="n"/>
      <c r="H391" s="49" t="n"/>
      <c r="I391" s="49" t="n"/>
      <c r="J391" s="49" t="n"/>
      <c r="K391" s="49" t="n"/>
      <c r="L391" s="49" t="n"/>
      <c r="M391" s="49" t="n"/>
      <c r="N391" s="49" t="n"/>
      <c r="O391" s="49" t="n"/>
      <c r="P391" s="50" t="n"/>
      <c r="Q391" s="51" t="str">
        <f>IF(AND(ISNUMBER($F391),$F391&gt;0,ISNUMBER($G391)),$G391/$F391,"")</f>
        <v/>
      </c>
      <c r="R391" s="51" t="str">
        <f>IF(AND(ISNUMBER($F391),$F391&gt;0,ISNUMBER($H391)),$H391/$F391,"")</f>
        <v/>
      </c>
      <c r="S391" s="52" t="str">
        <f>IF(AND(ISNUMBER($J391),ISNUMBER($L391)),IF($L391&gt;0,$J391/$L391,""),"")</f>
        <v/>
      </c>
      <c r="T391" s="53" t="str">
        <f>IF(ISNUMBER($A391),YEAR($A391)&amp;"-"&amp;TEXT(MONTH($A391),"00"),"")</f>
        <v/>
      </c>
    </row>
    <row r="392">
      <c r="A392" s="47" t="n"/>
      <c r="B392" s="48" t="n"/>
      <c r="C392" s="48" t="n"/>
      <c r="D392" s="48" t="n"/>
      <c r="E392" s="48" t="n"/>
      <c r="F392" s="49" t="n"/>
      <c r="G392" s="49" t="n"/>
      <c r="H392" s="49" t="n"/>
      <c r="I392" s="49" t="n"/>
      <c r="J392" s="49" t="n"/>
      <c r="K392" s="49" t="n"/>
      <c r="L392" s="49" t="n"/>
      <c r="M392" s="49" t="n"/>
      <c r="N392" s="49" t="n"/>
      <c r="O392" s="49" t="n"/>
      <c r="P392" s="50" t="n"/>
      <c r="Q392" s="51" t="str">
        <f>IF(AND(ISNUMBER($F392),$F392&gt;0,ISNUMBER($G392)),$G392/$F392,"")</f>
        <v/>
      </c>
      <c r="R392" s="51" t="str">
        <f>IF(AND(ISNUMBER($F392),$F392&gt;0,ISNUMBER($H392)),$H392/$F392,"")</f>
        <v/>
      </c>
      <c r="S392" s="52" t="str">
        <f>IF(AND(ISNUMBER($J392),ISNUMBER($L392)),IF($L392&gt;0,$J392/$L392,""),"")</f>
        <v/>
      </c>
      <c r="T392" s="53" t="str">
        <f>IF(ISNUMBER($A392),YEAR($A392)&amp;"-"&amp;TEXT(MONTH($A392),"00"),"")</f>
        <v/>
      </c>
    </row>
    <row r="393">
      <c r="A393" s="47" t="n"/>
      <c r="B393" s="48" t="n"/>
      <c r="C393" s="48" t="n"/>
      <c r="D393" s="48" t="n"/>
      <c r="E393" s="48" t="n"/>
      <c r="F393" s="49" t="n"/>
      <c r="G393" s="49" t="n"/>
      <c r="H393" s="49" t="n"/>
      <c r="I393" s="49" t="n"/>
      <c r="J393" s="49" t="n"/>
      <c r="K393" s="49" t="n"/>
      <c r="L393" s="49" t="n"/>
      <c r="M393" s="49" t="n"/>
      <c r="N393" s="49" t="n"/>
      <c r="O393" s="49" t="n"/>
      <c r="P393" s="50" t="n"/>
      <c r="Q393" s="51" t="str">
        <f>IF(AND(ISNUMBER($F393),$F393&gt;0,ISNUMBER($G393)),$G393/$F393,"")</f>
        <v/>
      </c>
      <c r="R393" s="51" t="str">
        <f>IF(AND(ISNUMBER($F393),$F393&gt;0,ISNUMBER($H393)),$H393/$F393,"")</f>
        <v/>
      </c>
      <c r="S393" s="52" t="str">
        <f>IF(AND(ISNUMBER($J393),ISNUMBER($L393)),IF($L393&gt;0,$J393/$L393,""),"")</f>
        <v/>
      </c>
      <c r="T393" s="53" t="str">
        <f>IF(ISNUMBER($A393),YEAR($A393)&amp;"-"&amp;TEXT(MONTH($A393),"00"),"")</f>
        <v/>
      </c>
    </row>
    <row r="394">
      <c r="A394" s="47" t="n"/>
      <c r="B394" s="48" t="n"/>
      <c r="C394" s="48" t="n"/>
      <c r="D394" s="48" t="n"/>
      <c r="E394" s="48" t="n"/>
      <c r="F394" s="49" t="n"/>
      <c r="G394" s="49" t="n"/>
      <c r="H394" s="49" t="n"/>
      <c r="I394" s="49" t="n"/>
      <c r="J394" s="49" t="n"/>
      <c r="K394" s="49" t="n"/>
      <c r="L394" s="49" t="n"/>
      <c r="M394" s="49" t="n"/>
      <c r="N394" s="49" t="n"/>
      <c r="O394" s="49" t="n"/>
      <c r="P394" s="50" t="n"/>
      <c r="Q394" s="51" t="str">
        <f>IF(AND(ISNUMBER($F394),$F394&gt;0,ISNUMBER($G394)),$G394/$F394,"")</f>
        <v/>
      </c>
      <c r="R394" s="51" t="str">
        <f>IF(AND(ISNUMBER($F394),$F394&gt;0,ISNUMBER($H394)),$H394/$F394,"")</f>
        <v/>
      </c>
      <c r="S394" s="52" t="str">
        <f>IF(AND(ISNUMBER($J394),ISNUMBER($L394)),IF($L394&gt;0,$J394/$L394,""),"")</f>
        <v/>
      </c>
      <c r="T394" s="53" t="str">
        <f>IF(ISNUMBER($A394),YEAR($A394)&amp;"-"&amp;TEXT(MONTH($A394),"00"),"")</f>
        <v/>
      </c>
    </row>
    <row r="395">
      <c r="A395" s="47" t="n"/>
      <c r="B395" s="48" t="n"/>
      <c r="C395" s="48" t="n"/>
      <c r="D395" s="48" t="n"/>
      <c r="E395" s="48" t="n"/>
      <c r="F395" s="49" t="n"/>
      <c r="G395" s="49" t="n"/>
      <c r="H395" s="49" t="n"/>
      <c r="I395" s="49" t="n"/>
      <c r="J395" s="49" t="n"/>
      <c r="K395" s="49" t="n"/>
      <c r="L395" s="49" t="n"/>
      <c r="M395" s="49" t="n"/>
      <c r="N395" s="49" t="n"/>
      <c r="O395" s="49" t="n"/>
      <c r="P395" s="50" t="n"/>
      <c r="Q395" s="51" t="str">
        <f>IF(AND(ISNUMBER($F395),$F395&gt;0,ISNUMBER($G395)),$G395/$F395,"")</f>
        <v/>
      </c>
      <c r="R395" s="51" t="str">
        <f>IF(AND(ISNUMBER($F395),$F395&gt;0,ISNUMBER($H395)),$H395/$F395,"")</f>
        <v/>
      </c>
      <c r="S395" s="52" t="str">
        <f>IF(AND(ISNUMBER($J395),ISNUMBER($L395)),IF($L395&gt;0,$J395/$L395,""),"")</f>
        <v/>
      </c>
      <c r="T395" s="53" t="str">
        <f>IF(ISNUMBER($A395),YEAR($A395)&amp;"-"&amp;TEXT(MONTH($A395),"00"),"")</f>
        <v/>
      </c>
    </row>
    <row r="396">
      <c r="A396" s="47" t="n"/>
      <c r="B396" s="48" t="n"/>
      <c r="C396" s="48" t="n"/>
      <c r="D396" s="48" t="n"/>
      <c r="E396" s="48" t="n"/>
      <c r="F396" s="49" t="n"/>
      <c r="G396" s="49" t="n"/>
      <c r="H396" s="49" t="n"/>
      <c r="I396" s="49" t="n"/>
      <c r="J396" s="49" t="n"/>
      <c r="K396" s="49" t="n"/>
      <c r="L396" s="49" t="n"/>
      <c r="M396" s="49" t="n"/>
      <c r="N396" s="49" t="n"/>
      <c r="O396" s="49" t="n"/>
      <c r="P396" s="50" t="n"/>
      <c r="Q396" s="51" t="str">
        <f>IF(AND(ISNUMBER($F396),$F396&gt;0,ISNUMBER($G396)),$G396/$F396,"")</f>
        <v/>
      </c>
      <c r="R396" s="51" t="str">
        <f>IF(AND(ISNUMBER($F396),$F396&gt;0,ISNUMBER($H396)),$H396/$F396,"")</f>
        <v/>
      </c>
      <c r="S396" s="52" t="str">
        <f>IF(AND(ISNUMBER($J396),ISNUMBER($L396)),IF($L396&gt;0,$J396/$L396,""),"")</f>
        <v/>
      </c>
      <c r="T396" s="53" t="str">
        <f>IF(ISNUMBER($A396),YEAR($A396)&amp;"-"&amp;TEXT(MONTH($A396),"00"),"")</f>
        <v/>
      </c>
    </row>
    <row r="397">
      <c r="A397" s="47" t="n"/>
      <c r="B397" s="48" t="n"/>
      <c r="C397" s="48" t="n"/>
      <c r="D397" s="48" t="n"/>
      <c r="E397" s="48" t="n"/>
      <c r="F397" s="49" t="n"/>
      <c r="G397" s="49" t="n"/>
      <c r="H397" s="49" t="n"/>
      <c r="I397" s="49" t="n"/>
      <c r="J397" s="49" t="n"/>
      <c r="K397" s="49" t="n"/>
      <c r="L397" s="49" t="n"/>
      <c r="M397" s="49" t="n"/>
      <c r="N397" s="49" t="n"/>
      <c r="O397" s="49" t="n"/>
      <c r="P397" s="50" t="n"/>
      <c r="Q397" s="51" t="str">
        <f>IF(AND(ISNUMBER($F397),$F397&gt;0,ISNUMBER($G397)),$G397/$F397,"")</f>
        <v/>
      </c>
      <c r="R397" s="51" t="str">
        <f>IF(AND(ISNUMBER($F397),$F397&gt;0,ISNUMBER($H397)),$H397/$F397,"")</f>
        <v/>
      </c>
      <c r="S397" s="52" t="str">
        <f>IF(AND(ISNUMBER($J397),ISNUMBER($L397)),IF($L397&gt;0,$J397/$L397,""),"")</f>
        <v/>
      </c>
      <c r="T397" s="53" t="str">
        <f>IF(ISNUMBER($A397),YEAR($A397)&amp;"-"&amp;TEXT(MONTH($A397),"00"),"")</f>
        <v/>
      </c>
    </row>
    <row r="398">
      <c r="A398" s="47" t="n"/>
      <c r="B398" s="48" t="n"/>
      <c r="C398" s="48" t="n"/>
      <c r="D398" s="48" t="n"/>
      <c r="E398" s="48" t="n"/>
      <c r="F398" s="49" t="n"/>
      <c r="G398" s="49" t="n"/>
      <c r="H398" s="49" t="n"/>
      <c r="I398" s="49" t="n"/>
      <c r="J398" s="49" t="n"/>
      <c r="K398" s="49" t="n"/>
      <c r="L398" s="49" t="n"/>
      <c r="M398" s="49" t="n"/>
      <c r="N398" s="49" t="n"/>
      <c r="O398" s="49" t="n"/>
      <c r="P398" s="50" t="n"/>
      <c r="Q398" s="51" t="str">
        <f>IF(AND(ISNUMBER($F398),$F398&gt;0,ISNUMBER($G398)),$G398/$F398,"")</f>
        <v/>
      </c>
      <c r="R398" s="51" t="str">
        <f>IF(AND(ISNUMBER($F398),$F398&gt;0,ISNUMBER($H398)),$H398/$F398,"")</f>
        <v/>
      </c>
      <c r="S398" s="52" t="str">
        <f>IF(AND(ISNUMBER($J398),ISNUMBER($L398)),IF($L398&gt;0,$J398/$L398,""),"")</f>
        <v/>
      </c>
      <c r="T398" s="53" t="str">
        <f>IF(ISNUMBER($A398),YEAR($A398)&amp;"-"&amp;TEXT(MONTH($A398),"00"),"")</f>
        <v/>
      </c>
    </row>
    <row r="399">
      <c r="A399" s="47" t="n"/>
      <c r="B399" s="48" t="n"/>
      <c r="C399" s="48" t="n"/>
      <c r="D399" s="48" t="n"/>
      <c r="E399" s="48" t="n"/>
      <c r="F399" s="49" t="n"/>
      <c r="G399" s="49" t="n"/>
      <c r="H399" s="49" t="n"/>
      <c r="I399" s="49" t="n"/>
      <c r="J399" s="49" t="n"/>
      <c r="K399" s="49" t="n"/>
      <c r="L399" s="49" t="n"/>
      <c r="M399" s="49" t="n"/>
      <c r="N399" s="49" t="n"/>
      <c r="O399" s="49" t="n"/>
      <c r="P399" s="50" t="n"/>
      <c r="Q399" s="51" t="str">
        <f>IF(AND(ISNUMBER($F399),$F399&gt;0,ISNUMBER($G399)),$G399/$F399,"")</f>
        <v/>
      </c>
      <c r="R399" s="51" t="str">
        <f>IF(AND(ISNUMBER($F399),$F399&gt;0,ISNUMBER($H399)),$H399/$F399,"")</f>
        <v/>
      </c>
      <c r="S399" s="52" t="str">
        <f>IF(AND(ISNUMBER($J399),ISNUMBER($L399)),IF($L399&gt;0,$J399/$L399,""),"")</f>
        <v/>
      </c>
      <c r="T399" s="53" t="str">
        <f>IF(ISNUMBER($A399),YEAR($A399)&amp;"-"&amp;TEXT(MONTH($A399),"00"),"")</f>
        <v/>
      </c>
    </row>
    <row r="400">
      <c r="A400" s="47" t="n"/>
      <c r="B400" s="48" t="n"/>
      <c r="C400" s="48" t="n"/>
      <c r="D400" s="48" t="n"/>
      <c r="E400" s="48" t="n"/>
      <c r="F400" s="49" t="n"/>
      <c r="G400" s="49" t="n"/>
      <c r="H400" s="49" t="n"/>
      <c r="I400" s="49" t="n"/>
      <c r="J400" s="49" t="n"/>
      <c r="K400" s="49" t="n"/>
      <c r="L400" s="49" t="n"/>
      <c r="M400" s="49" t="n"/>
      <c r="N400" s="49" t="n"/>
      <c r="O400" s="49" t="n"/>
      <c r="P400" s="50" t="n"/>
      <c r="Q400" s="51" t="str">
        <f>IF(AND(ISNUMBER($F400),$F400&gt;0,ISNUMBER($G400)),$G400/$F400,"")</f>
        <v/>
      </c>
      <c r="R400" s="51" t="str">
        <f>IF(AND(ISNUMBER($F400),$F400&gt;0,ISNUMBER($H400)),$H400/$F400,"")</f>
        <v/>
      </c>
      <c r="S400" s="52" t="str">
        <f>IF(AND(ISNUMBER($J400),ISNUMBER($L400)),IF($L400&gt;0,$J400/$L400,""),"")</f>
        <v/>
      </c>
      <c r="T400" s="53" t="str">
        <f>IF(ISNUMBER($A400),YEAR($A400)&amp;"-"&amp;TEXT(MONTH($A400),"00"),"")</f>
        <v/>
      </c>
    </row>
    <row r="401">
      <c r="A401" s="47" t="n"/>
      <c r="B401" s="48" t="n"/>
      <c r="C401" s="48" t="n"/>
      <c r="D401" s="48" t="n"/>
      <c r="E401" s="48" t="n"/>
      <c r="F401" s="49" t="n"/>
      <c r="G401" s="49" t="n"/>
      <c r="H401" s="49" t="n"/>
      <c r="I401" s="49" t="n"/>
      <c r="J401" s="49" t="n"/>
      <c r="K401" s="49" t="n"/>
      <c r="L401" s="49" t="n"/>
      <c r="M401" s="49" t="n"/>
      <c r="N401" s="49" t="n"/>
      <c r="O401" s="49" t="n"/>
      <c r="P401" s="50" t="n"/>
      <c r="Q401" s="51" t="str">
        <f>IF(AND(ISNUMBER($F401),$F401&gt;0,ISNUMBER($G401)),$G401/$F401,"")</f>
        <v/>
      </c>
      <c r="R401" s="51" t="str">
        <f>IF(AND(ISNUMBER($F401),$F401&gt;0,ISNUMBER($H401)),$H401/$F401,"")</f>
        <v/>
      </c>
      <c r="S401" s="52" t="str">
        <f>IF(AND(ISNUMBER($J401),ISNUMBER($L401)),IF($L401&gt;0,$J401/$L401,""),"")</f>
        <v/>
      </c>
      <c r="T401" s="53" t="str">
        <f>IF(ISNUMBER($A401),YEAR($A401)&amp;"-"&amp;TEXT(MONTH($A401),"00"),"")</f>
        <v/>
      </c>
    </row>
    <row r="402">
      <c r="A402" s="47" t="n"/>
      <c r="B402" s="48" t="n"/>
      <c r="C402" s="48" t="n"/>
      <c r="D402" s="48" t="n"/>
      <c r="E402" s="48" t="n"/>
      <c r="F402" s="49" t="n"/>
      <c r="G402" s="49" t="n"/>
      <c r="H402" s="49" t="n"/>
      <c r="I402" s="49" t="n"/>
      <c r="J402" s="49" t="n"/>
      <c r="K402" s="49" t="n"/>
      <c r="L402" s="49" t="n"/>
      <c r="M402" s="49" t="n"/>
      <c r="N402" s="49" t="n"/>
      <c r="O402" s="49" t="n"/>
      <c r="P402" s="50" t="n"/>
      <c r="Q402" s="51" t="str">
        <f>IF(AND(ISNUMBER($F402),$F402&gt;0,ISNUMBER($G402)),$G402/$F402,"")</f>
        <v/>
      </c>
      <c r="R402" s="51" t="str">
        <f>IF(AND(ISNUMBER($F402),$F402&gt;0,ISNUMBER($H402)),$H402/$F402,"")</f>
        <v/>
      </c>
      <c r="S402" s="52" t="str">
        <f>IF(AND(ISNUMBER($J402),ISNUMBER($L402)),IF($L402&gt;0,$J402/$L402,""),"")</f>
        <v/>
      </c>
      <c r="T402" s="53" t="str">
        <f>IF(ISNUMBER($A402),YEAR($A402)&amp;"-"&amp;TEXT(MONTH($A402),"00"),"")</f>
        <v/>
      </c>
    </row>
    <row r="403">
      <c r="A403" s="47" t="n"/>
      <c r="B403" s="48" t="n"/>
      <c r="C403" s="48" t="n"/>
      <c r="D403" s="48" t="n"/>
      <c r="E403" s="48" t="n"/>
      <c r="F403" s="49" t="n"/>
      <c r="G403" s="49" t="n"/>
      <c r="H403" s="49" t="n"/>
      <c r="I403" s="49" t="n"/>
      <c r="J403" s="49" t="n"/>
      <c r="K403" s="49" t="n"/>
      <c r="L403" s="49" t="n"/>
      <c r="M403" s="49" t="n"/>
      <c r="N403" s="49" t="n"/>
      <c r="O403" s="49" t="n"/>
      <c r="P403" s="50" t="n"/>
      <c r="Q403" s="51" t="str">
        <f>IF(AND(ISNUMBER($F403),$F403&gt;0,ISNUMBER($G403)),$G403/$F403,"")</f>
        <v/>
      </c>
      <c r="R403" s="51" t="str">
        <f>IF(AND(ISNUMBER($F403),$F403&gt;0,ISNUMBER($H403)),$H403/$F403,"")</f>
        <v/>
      </c>
      <c r="S403" s="52" t="str">
        <f>IF(AND(ISNUMBER($J403),ISNUMBER($L403)),IF($L403&gt;0,$J403/$L403,""),"")</f>
        <v/>
      </c>
      <c r="T403" s="53" t="str">
        <f>IF(ISNUMBER($A403),YEAR($A403)&amp;"-"&amp;TEXT(MONTH($A403),"00"),"")</f>
        <v/>
      </c>
    </row>
    <row r="404">
      <c r="A404" s="47" t="n"/>
      <c r="B404" s="48" t="n"/>
      <c r="C404" s="48" t="n"/>
      <c r="D404" s="48" t="n"/>
      <c r="E404" s="48" t="n"/>
      <c r="F404" s="49" t="n"/>
      <c r="G404" s="49" t="n"/>
      <c r="H404" s="49" t="n"/>
      <c r="I404" s="49" t="n"/>
      <c r="J404" s="49" t="n"/>
      <c r="K404" s="49" t="n"/>
      <c r="L404" s="49" t="n"/>
      <c r="M404" s="49" t="n"/>
      <c r="N404" s="49" t="n"/>
      <c r="O404" s="49" t="n"/>
      <c r="P404" s="50" t="n"/>
      <c r="Q404" s="51" t="str">
        <f>IF(AND(ISNUMBER($F404),$F404&gt;0,ISNUMBER($G404)),$G404/$F404,"")</f>
        <v/>
      </c>
      <c r="R404" s="51" t="str">
        <f>IF(AND(ISNUMBER($F404),$F404&gt;0,ISNUMBER($H404)),$H404/$F404,"")</f>
        <v/>
      </c>
      <c r="S404" s="52" t="str">
        <f>IF(AND(ISNUMBER($J404),ISNUMBER($L404)),IF($L404&gt;0,$J404/$L404,""),"")</f>
        <v/>
      </c>
      <c r="T404" s="53" t="str">
        <f>IF(ISNUMBER($A404),YEAR($A404)&amp;"-"&amp;TEXT(MONTH($A404),"00"),"")</f>
        <v/>
      </c>
    </row>
    <row r="405">
      <c r="A405" s="47" t="n"/>
      <c r="B405" s="48" t="n"/>
      <c r="C405" s="48" t="n"/>
      <c r="D405" s="48" t="n"/>
      <c r="E405" s="48" t="n"/>
      <c r="F405" s="49" t="n"/>
      <c r="G405" s="49" t="n"/>
      <c r="H405" s="49" t="n"/>
      <c r="I405" s="49" t="n"/>
      <c r="J405" s="49" t="n"/>
      <c r="K405" s="49" t="n"/>
      <c r="L405" s="49" t="n"/>
      <c r="M405" s="49" t="n"/>
      <c r="N405" s="49" t="n"/>
      <c r="O405" s="49" t="n"/>
      <c r="P405" s="50" t="n"/>
      <c r="Q405" s="51" t="str">
        <f>IF(AND(ISNUMBER($F405),$F405&gt;0,ISNUMBER($G405)),$G405/$F405,"")</f>
        <v/>
      </c>
      <c r="R405" s="51" t="str">
        <f>IF(AND(ISNUMBER($F405),$F405&gt;0,ISNUMBER($H405)),$H405/$F405,"")</f>
        <v/>
      </c>
      <c r="S405" s="52" t="str">
        <f>IF(AND(ISNUMBER($J405),ISNUMBER($L405)),IF($L405&gt;0,$J405/$L405,""),"")</f>
        <v/>
      </c>
      <c r="T405" s="53" t="str">
        <f>IF(ISNUMBER($A405),YEAR($A405)&amp;"-"&amp;TEXT(MONTH($A405),"00"),"")</f>
        <v/>
      </c>
    </row>
    <row r="406">
      <c r="A406" s="47" t="n"/>
      <c r="B406" s="48" t="n"/>
      <c r="C406" s="48" t="n"/>
      <c r="D406" s="48" t="n"/>
      <c r="E406" s="48" t="n"/>
      <c r="F406" s="49" t="n"/>
      <c r="G406" s="49" t="n"/>
      <c r="H406" s="49" t="n"/>
      <c r="I406" s="49" t="n"/>
      <c r="J406" s="49" t="n"/>
      <c r="K406" s="49" t="n"/>
      <c r="L406" s="49" t="n"/>
      <c r="M406" s="49" t="n"/>
      <c r="N406" s="49" t="n"/>
      <c r="O406" s="49" t="n"/>
      <c r="P406" s="50" t="n"/>
      <c r="Q406" s="51" t="str">
        <f>IF(AND(ISNUMBER($F406),$F406&gt;0,ISNUMBER($G406)),$G406/$F406,"")</f>
        <v/>
      </c>
      <c r="R406" s="51" t="str">
        <f>IF(AND(ISNUMBER($F406),$F406&gt;0,ISNUMBER($H406)),$H406/$F406,"")</f>
        <v/>
      </c>
      <c r="S406" s="52" t="str">
        <f>IF(AND(ISNUMBER($J406),ISNUMBER($L406)),IF($L406&gt;0,$J406/$L406,""),"")</f>
        <v/>
      </c>
      <c r="T406" s="53" t="str">
        <f>IF(ISNUMBER($A406),YEAR($A406)&amp;"-"&amp;TEXT(MONTH($A406),"00"),"")</f>
        <v/>
      </c>
    </row>
    <row r="407">
      <c r="A407" s="47" t="n"/>
      <c r="B407" s="48" t="n"/>
      <c r="C407" s="48" t="n"/>
      <c r="D407" s="48" t="n"/>
      <c r="E407" s="48" t="n"/>
      <c r="F407" s="49" t="n"/>
      <c r="G407" s="49" t="n"/>
      <c r="H407" s="49" t="n"/>
      <c r="I407" s="49" t="n"/>
      <c r="J407" s="49" t="n"/>
      <c r="K407" s="49" t="n"/>
      <c r="L407" s="49" t="n"/>
      <c r="M407" s="49" t="n"/>
      <c r="N407" s="49" t="n"/>
      <c r="O407" s="49" t="n"/>
      <c r="P407" s="50" t="n"/>
      <c r="Q407" s="51" t="str">
        <f>IF(AND(ISNUMBER($F407),$F407&gt;0,ISNUMBER($G407)),$G407/$F407,"")</f>
        <v/>
      </c>
      <c r="R407" s="51" t="str">
        <f>IF(AND(ISNUMBER($F407),$F407&gt;0,ISNUMBER($H407)),$H407/$F407,"")</f>
        <v/>
      </c>
      <c r="S407" s="52" t="str">
        <f>IF(AND(ISNUMBER($J407),ISNUMBER($L407)),IF($L407&gt;0,$J407/$L407,""),"")</f>
        <v/>
      </c>
      <c r="T407" s="53" t="str">
        <f>IF(ISNUMBER($A407),YEAR($A407)&amp;"-"&amp;TEXT(MONTH($A407),"00"),"")</f>
        <v/>
      </c>
    </row>
    <row r="408">
      <c r="A408" s="47" t="n"/>
      <c r="B408" s="48" t="n"/>
      <c r="C408" s="48" t="n"/>
      <c r="D408" s="48" t="n"/>
      <c r="E408" s="48" t="n"/>
      <c r="F408" s="49" t="n"/>
      <c r="G408" s="49" t="n"/>
      <c r="H408" s="49" t="n"/>
      <c r="I408" s="49" t="n"/>
      <c r="J408" s="49" t="n"/>
      <c r="K408" s="49" t="n"/>
      <c r="L408" s="49" t="n"/>
      <c r="M408" s="49" t="n"/>
      <c r="N408" s="49" t="n"/>
      <c r="O408" s="49" t="n"/>
      <c r="P408" s="50" t="n"/>
      <c r="Q408" s="51" t="str">
        <f>IF(AND(ISNUMBER($F408),$F408&gt;0,ISNUMBER($G408)),$G408/$F408,"")</f>
        <v/>
      </c>
      <c r="R408" s="51" t="str">
        <f>IF(AND(ISNUMBER($F408),$F408&gt;0,ISNUMBER($H408)),$H408/$F408,"")</f>
        <v/>
      </c>
      <c r="S408" s="52" t="str">
        <f>IF(AND(ISNUMBER($J408),ISNUMBER($L408)),IF($L408&gt;0,$J408/$L408,""),"")</f>
        <v/>
      </c>
      <c r="T408" s="53" t="str">
        <f>IF(ISNUMBER($A408),YEAR($A408)&amp;"-"&amp;TEXT(MONTH($A408),"00"),"")</f>
        <v/>
      </c>
    </row>
    <row r="409">
      <c r="A409" s="47" t="n"/>
      <c r="B409" s="48" t="n"/>
      <c r="C409" s="48" t="n"/>
      <c r="D409" s="48" t="n"/>
      <c r="E409" s="48" t="n"/>
      <c r="F409" s="49" t="n"/>
      <c r="G409" s="49" t="n"/>
      <c r="H409" s="49" t="n"/>
      <c r="I409" s="49" t="n"/>
      <c r="J409" s="49" t="n"/>
      <c r="K409" s="49" t="n"/>
      <c r="L409" s="49" t="n"/>
      <c r="M409" s="49" t="n"/>
      <c r="N409" s="49" t="n"/>
      <c r="O409" s="49" t="n"/>
      <c r="P409" s="50" t="n"/>
      <c r="Q409" s="51" t="str">
        <f>IF(AND(ISNUMBER($F409),$F409&gt;0,ISNUMBER($G409)),$G409/$F409,"")</f>
        <v/>
      </c>
      <c r="R409" s="51" t="str">
        <f>IF(AND(ISNUMBER($F409),$F409&gt;0,ISNUMBER($H409)),$H409/$F409,"")</f>
        <v/>
      </c>
      <c r="S409" s="52" t="str">
        <f>IF(AND(ISNUMBER($J409),ISNUMBER($L409)),IF($L409&gt;0,$J409/$L409,""),"")</f>
        <v/>
      </c>
      <c r="T409" s="53" t="str">
        <f>IF(ISNUMBER($A409),YEAR($A409)&amp;"-"&amp;TEXT(MONTH($A409),"00"),"")</f>
        <v/>
      </c>
    </row>
    <row r="410">
      <c r="A410" s="47" t="n"/>
      <c r="B410" s="48" t="n"/>
      <c r="C410" s="48" t="n"/>
      <c r="D410" s="48" t="n"/>
      <c r="E410" s="48" t="n"/>
      <c r="F410" s="49" t="n"/>
      <c r="G410" s="49" t="n"/>
      <c r="H410" s="49" t="n"/>
      <c r="I410" s="49" t="n"/>
      <c r="J410" s="49" t="n"/>
      <c r="K410" s="49" t="n"/>
      <c r="L410" s="49" t="n"/>
      <c r="M410" s="49" t="n"/>
      <c r="N410" s="49" t="n"/>
      <c r="O410" s="49" t="n"/>
      <c r="P410" s="50" t="n"/>
      <c r="Q410" s="51" t="str">
        <f>IF(AND(ISNUMBER($F410),$F410&gt;0,ISNUMBER($G410)),$G410/$F410,"")</f>
        <v/>
      </c>
      <c r="R410" s="51" t="str">
        <f>IF(AND(ISNUMBER($F410),$F410&gt;0,ISNUMBER($H410)),$H410/$F410,"")</f>
        <v/>
      </c>
      <c r="S410" s="52" t="str">
        <f>IF(AND(ISNUMBER($J410),ISNUMBER($L410)),IF($L410&gt;0,$J410/$L410,""),"")</f>
        <v/>
      </c>
      <c r="T410" s="53" t="str">
        <f>IF(ISNUMBER($A410),YEAR($A410)&amp;"-"&amp;TEXT(MONTH($A410),"00"),"")</f>
        <v/>
      </c>
    </row>
    <row r="411">
      <c r="A411" s="47" t="n"/>
      <c r="B411" s="48" t="n"/>
      <c r="C411" s="48" t="n"/>
      <c r="D411" s="48" t="n"/>
      <c r="E411" s="48" t="n"/>
      <c r="F411" s="49" t="n"/>
      <c r="G411" s="49" t="n"/>
      <c r="H411" s="49" t="n"/>
      <c r="I411" s="49" t="n"/>
      <c r="J411" s="49" t="n"/>
      <c r="K411" s="49" t="n"/>
      <c r="L411" s="49" t="n"/>
      <c r="M411" s="49" t="n"/>
      <c r="N411" s="49" t="n"/>
      <c r="O411" s="49" t="n"/>
      <c r="P411" s="50" t="n"/>
      <c r="Q411" s="51" t="str">
        <f>IF(AND(ISNUMBER($F411),$F411&gt;0,ISNUMBER($G411)),$G411/$F411,"")</f>
        <v/>
      </c>
      <c r="R411" s="51" t="str">
        <f>IF(AND(ISNUMBER($F411),$F411&gt;0,ISNUMBER($H411)),$H411/$F411,"")</f>
        <v/>
      </c>
      <c r="S411" s="52" t="str">
        <f>IF(AND(ISNUMBER($J411),ISNUMBER($L411)),IF($L411&gt;0,$J411/$L411,""),"")</f>
        <v/>
      </c>
      <c r="T411" s="53" t="str">
        <f>IF(ISNUMBER($A411),YEAR($A411)&amp;"-"&amp;TEXT(MONTH($A411),"00"),"")</f>
        <v/>
      </c>
    </row>
    <row r="412">
      <c r="A412" s="47" t="n"/>
      <c r="B412" s="48" t="n"/>
      <c r="C412" s="48" t="n"/>
      <c r="D412" s="48" t="n"/>
      <c r="E412" s="48" t="n"/>
      <c r="F412" s="49" t="n"/>
      <c r="G412" s="49" t="n"/>
      <c r="H412" s="49" t="n"/>
      <c r="I412" s="49" t="n"/>
      <c r="J412" s="49" t="n"/>
      <c r="K412" s="49" t="n"/>
      <c r="L412" s="49" t="n"/>
      <c r="M412" s="49" t="n"/>
      <c r="N412" s="49" t="n"/>
      <c r="O412" s="49" t="n"/>
      <c r="P412" s="50" t="n"/>
      <c r="Q412" s="51" t="str">
        <f>IF(AND(ISNUMBER($F412),$F412&gt;0,ISNUMBER($G412)),$G412/$F412,"")</f>
        <v/>
      </c>
      <c r="R412" s="51" t="str">
        <f>IF(AND(ISNUMBER($F412),$F412&gt;0,ISNUMBER($H412)),$H412/$F412,"")</f>
        <v/>
      </c>
      <c r="S412" s="52" t="str">
        <f>IF(AND(ISNUMBER($J412),ISNUMBER($L412)),IF($L412&gt;0,$J412/$L412,""),"")</f>
        <v/>
      </c>
      <c r="T412" s="53" t="str">
        <f>IF(ISNUMBER($A412),YEAR($A412)&amp;"-"&amp;TEXT(MONTH($A412),"00"),"")</f>
        <v/>
      </c>
    </row>
    <row r="413">
      <c r="A413" s="47" t="n"/>
      <c r="B413" s="48" t="n"/>
      <c r="C413" s="48" t="n"/>
      <c r="D413" s="48" t="n"/>
      <c r="E413" s="48" t="n"/>
      <c r="F413" s="49" t="n"/>
      <c r="G413" s="49" t="n"/>
      <c r="H413" s="49" t="n"/>
      <c r="I413" s="49" t="n"/>
      <c r="J413" s="49" t="n"/>
      <c r="K413" s="49" t="n"/>
      <c r="L413" s="49" t="n"/>
      <c r="M413" s="49" t="n"/>
      <c r="N413" s="49" t="n"/>
      <c r="O413" s="49" t="n"/>
      <c r="P413" s="50" t="n"/>
      <c r="Q413" s="51" t="str">
        <f>IF(AND(ISNUMBER($F413),$F413&gt;0,ISNUMBER($G413)),$G413/$F413,"")</f>
        <v/>
      </c>
      <c r="R413" s="51" t="str">
        <f>IF(AND(ISNUMBER($F413),$F413&gt;0,ISNUMBER($H413)),$H413/$F413,"")</f>
        <v/>
      </c>
      <c r="S413" s="52" t="str">
        <f>IF(AND(ISNUMBER($J413),ISNUMBER($L413)),IF($L413&gt;0,$J413/$L413,""),"")</f>
        <v/>
      </c>
      <c r="T413" s="53" t="str">
        <f>IF(ISNUMBER($A413),YEAR($A413)&amp;"-"&amp;TEXT(MONTH($A413),"00"),"")</f>
        <v/>
      </c>
    </row>
    <row r="414">
      <c r="A414" s="47" t="n"/>
      <c r="B414" s="48" t="n"/>
      <c r="C414" s="48" t="n"/>
      <c r="D414" s="48" t="n"/>
      <c r="E414" s="48" t="n"/>
      <c r="F414" s="49" t="n"/>
      <c r="G414" s="49" t="n"/>
      <c r="H414" s="49" t="n"/>
      <c r="I414" s="49" t="n"/>
      <c r="J414" s="49" t="n"/>
      <c r="K414" s="49" t="n"/>
      <c r="L414" s="49" t="n"/>
      <c r="M414" s="49" t="n"/>
      <c r="N414" s="49" t="n"/>
      <c r="O414" s="49" t="n"/>
      <c r="P414" s="50" t="n"/>
      <c r="Q414" s="51" t="str">
        <f>IF(AND(ISNUMBER($F414),$F414&gt;0,ISNUMBER($G414)),$G414/$F414,"")</f>
        <v/>
      </c>
      <c r="R414" s="51" t="str">
        <f>IF(AND(ISNUMBER($F414),$F414&gt;0,ISNUMBER($H414)),$H414/$F414,"")</f>
        <v/>
      </c>
      <c r="S414" s="52" t="str">
        <f>IF(AND(ISNUMBER($J414),ISNUMBER($L414)),IF($L414&gt;0,$J414/$L414,""),"")</f>
        <v/>
      </c>
      <c r="T414" s="53" t="str">
        <f>IF(ISNUMBER($A414),YEAR($A414)&amp;"-"&amp;TEXT(MONTH($A414),"00"),"")</f>
        <v/>
      </c>
    </row>
    <row r="415">
      <c r="A415" s="47" t="n"/>
      <c r="B415" s="48" t="n"/>
      <c r="C415" s="48" t="n"/>
      <c r="D415" s="48" t="n"/>
      <c r="E415" s="48" t="n"/>
      <c r="F415" s="49" t="n"/>
      <c r="G415" s="49" t="n"/>
      <c r="H415" s="49" t="n"/>
      <c r="I415" s="49" t="n"/>
      <c r="J415" s="49" t="n"/>
      <c r="K415" s="49" t="n"/>
      <c r="L415" s="49" t="n"/>
      <c r="M415" s="49" t="n"/>
      <c r="N415" s="49" t="n"/>
      <c r="O415" s="49" t="n"/>
      <c r="P415" s="50" t="n"/>
      <c r="Q415" s="51" t="str">
        <f>IF(AND(ISNUMBER($F415),$F415&gt;0,ISNUMBER($G415)),$G415/$F415,"")</f>
        <v/>
      </c>
      <c r="R415" s="51" t="str">
        <f>IF(AND(ISNUMBER($F415),$F415&gt;0,ISNUMBER($H415)),$H415/$F415,"")</f>
        <v/>
      </c>
      <c r="S415" s="52" t="str">
        <f>IF(AND(ISNUMBER($J415),ISNUMBER($L415)),IF($L415&gt;0,$J415/$L415,""),"")</f>
        <v/>
      </c>
      <c r="T415" s="53" t="str">
        <f>IF(ISNUMBER($A415),YEAR($A415)&amp;"-"&amp;TEXT(MONTH($A415),"00"),"")</f>
        <v/>
      </c>
    </row>
    <row r="416">
      <c r="A416" s="47" t="n"/>
      <c r="B416" s="48" t="n"/>
      <c r="C416" s="48" t="n"/>
      <c r="D416" s="48" t="n"/>
      <c r="E416" s="48" t="n"/>
      <c r="F416" s="49" t="n"/>
      <c r="G416" s="49" t="n"/>
      <c r="H416" s="49" t="n"/>
      <c r="I416" s="49" t="n"/>
      <c r="J416" s="49" t="n"/>
      <c r="K416" s="49" t="n"/>
      <c r="L416" s="49" t="n"/>
      <c r="M416" s="49" t="n"/>
      <c r="N416" s="49" t="n"/>
      <c r="O416" s="49" t="n"/>
      <c r="P416" s="50" t="n"/>
      <c r="Q416" s="51" t="str">
        <f>IF(AND(ISNUMBER($F416),$F416&gt;0,ISNUMBER($G416)),$G416/$F416,"")</f>
        <v/>
      </c>
      <c r="R416" s="51" t="str">
        <f>IF(AND(ISNUMBER($F416),$F416&gt;0,ISNUMBER($H416)),$H416/$F416,"")</f>
        <v/>
      </c>
      <c r="S416" s="52" t="str">
        <f>IF(AND(ISNUMBER($J416),ISNUMBER($L416)),IF($L416&gt;0,$J416/$L416,""),"")</f>
        <v/>
      </c>
      <c r="T416" s="53" t="str">
        <f>IF(ISNUMBER($A416),YEAR($A416)&amp;"-"&amp;TEXT(MONTH($A416),"00"),"")</f>
        <v/>
      </c>
    </row>
    <row r="417">
      <c r="A417" s="47" t="n"/>
      <c r="B417" s="48" t="n"/>
      <c r="C417" s="48" t="n"/>
      <c r="D417" s="48" t="n"/>
      <c r="E417" s="48" t="n"/>
      <c r="F417" s="49" t="n"/>
      <c r="G417" s="49" t="n"/>
      <c r="H417" s="49" t="n"/>
      <c r="I417" s="49" t="n"/>
      <c r="J417" s="49" t="n"/>
      <c r="K417" s="49" t="n"/>
      <c r="L417" s="49" t="n"/>
      <c r="M417" s="49" t="n"/>
      <c r="N417" s="49" t="n"/>
      <c r="O417" s="49" t="n"/>
      <c r="P417" s="50" t="n"/>
      <c r="Q417" s="51" t="str">
        <f>IF(AND(ISNUMBER($F417),$F417&gt;0,ISNUMBER($G417)),$G417/$F417,"")</f>
        <v/>
      </c>
      <c r="R417" s="51" t="str">
        <f>IF(AND(ISNUMBER($F417),$F417&gt;0,ISNUMBER($H417)),$H417/$F417,"")</f>
        <v/>
      </c>
      <c r="S417" s="52" t="str">
        <f>IF(AND(ISNUMBER($J417),ISNUMBER($L417)),IF($L417&gt;0,$J417/$L417,""),"")</f>
        <v/>
      </c>
      <c r="T417" s="53" t="str">
        <f>IF(ISNUMBER($A417),YEAR($A417)&amp;"-"&amp;TEXT(MONTH($A417),"00"),"")</f>
        <v/>
      </c>
    </row>
    <row r="418">
      <c r="A418" s="47" t="n"/>
      <c r="B418" s="48" t="n"/>
      <c r="C418" s="48" t="n"/>
      <c r="D418" s="48" t="n"/>
      <c r="E418" s="48" t="n"/>
      <c r="F418" s="49" t="n"/>
      <c r="G418" s="49" t="n"/>
      <c r="H418" s="49" t="n"/>
      <c r="I418" s="49" t="n"/>
      <c r="J418" s="49" t="n"/>
      <c r="K418" s="49" t="n"/>
      <c r="L418" s="49" t="n"/>
      <c r="M418" s="49" t="n"/>
      <c r="N418" s="49" t="n"/>
      <c r="O418" s="49" t="n"/>
      <c r="P418" s="50" t="n"/>
      <c r="Q418" s="51" t="str">
        <f>IF(AND(ISNUMBER($F418),$F418&gt;0,ISNUMBER($G418)),$G418/$F418,"")</f>
        <v/>
      </c>
      <c r="R418" s="51" t="str">
        <f>IF(AND(ISNUMBER($F418),$F418&gt;0,ISNUMBER($H418)),$H418/$F418,"")</f>
        <v/>
      </c>
      <c r="S418" s="52" t="str">
        <f>IF(AND(ISNUMBER($J418),ISNUMBER($L418)),IF($L418&gt;0,$J418/$L418,""),"")</f>
        <v/>
      </c>
      <c r="T418" s="53" t="str">
        <f>IF(ISNUMBER($A418),YEAR($A418)&amp;"-"&amp;TEXT(MONTH($A418),"00"),"")</f>
        <v/>
      </c>
    </row>
    <row r="419">
      <c r="A419" s="47" t="n"/>
      <c r="B419" s="48" t="n"/>
      <c r="C419" s="48" t="n"/>
      <c r="D419" s="48" t="n"/>
      <c r="E419" s="48" t="n"/>
      <c r="F419" s="49" t="n"/>
      <c r="G419" s="49" t="n"/>
      <c r="H419" s="49" t="n"/>
      <c r="I419" s="49" t="n"/>
      <c r="J419" s="49" t="n"/>
      <c r="K419" s="49" t="n"/>
      <c r="L419" s="49" t="n"/>
      <c r="M419" s="49" t="n"/>
      <c r="N419" s="49" t="n"/>
      <c r="O419" s="49" t="n"/>
      <c r="P419" s="50" t="n"/>
      <c r="Q419" s="51" t="str">
        <f>IF(AND(ISNUMBER($F419),$F419&gt;0,ISNUMBER($G419)),$G419/$F419,"")</f>
        <v/>
      </c>
      <c r="R419" s="51" t="str">
        <f>IF(AND(ISNUMBER($F419),$F419&gt;0,ISNUMBER($H419)),$H419/$F419,"")</f>
        <v/>
      </c>
      <c r="S419" s="52" t="str">
        <f>IF(AND(ISNUMBER($J419),ISNUMBER($L419)),IF($L419&gt;0,$J419/$L419,""),"")</f>
        <v/>
      </c>
      <c r="T419" s="53" t="str">
        <f>IF(ISNUMBER($A419),YEAR($A419)&amp;"-"&amp;TEXT(MONTH($A419),"00"),"")</f>
        <v/>
      </c>
    </row>
    <row r="420">
      <c r="A420" s="47" t="n"/>
      <c r="B420" s="48" t="n"/>
      <c r="C420" s="48" t="n"/>
      <c r="D420" s="48" t="n"/>
      <c r="E420" s="48" t="n"/>
      <c r="F420" s="49" t="n"/>
      <c r="G420" s="49" t="n"/>
      <c r="H420" s="49" t="n"/>
      <c r="I420" s="49" t="n"/>
      <c r="J420" s="49" t="n"/>
      <c r="K420" s="49" t="n"/>
      <c r="L420" s="49" t="n"/>
      <c r="M420" s="49" t="n"/>
      <c r="N420" s="49" t="n"/>
      <c r="O420" s="49" t="n"/>
      <c r="P420" s="50" t="n"/>
      <c r="Q420" s="51" t="str">
        <f>IF(AND(ISNUMBER($F420),$F420&gt;0,ISNUMBER($G420)),$G420/$F420,"")</f>
        <v/>
      </c>
      <c r="R420" s="51" t="str">
        <f>IF(AND(ISNUMBER($F420),$F420&gt;0,ISNUMBER($H420)),$H420/$F420,"")</f>
        <v/>
      </c>
      <c r="S420" s="52" t="str">
        <f>IF(AND(ISNUMBER($J420),ISNUMBER($L420)),IF($L420&gt;0,$J420/$L420,""),"")</f>
        <v/>
      </c>
      <c r="T420" s="53" t="str">
        <f>IF(ISNUMBER($A420),YEAR($A420)&amp;"-"&amp;TEXT(MONTH($A420),"00"),"")</f>
        <v/>
      </c>
    </row>
    <row r="421">
      <c r="A421" s="47" t="n"/>
      <c r="B421" s="48" t="n"/>
      <c r="C421" s="48" t="n"/>
      <c r="D421" s="48" t="n"/>
      <c r="E421" s="48" t="n"/>
      <c r="F421" s="49" t="n"/>
      <c r="G421" s="49" t="n"/>
      <c r="H421" s="49" t="n"/>
      <c r="I421" s="49" t="n"/>
      <c r="J421" s="49" t="n"/>
      <c r="K421" s="49" t="n"/>
      <c r="L421" s="49" t="n"/>
      <c r="M421" s="49" t="n"/>
      <c r="N421" s="49" t="n"/>
      <c r="O421" s="49" t="n"/>
      <c r="P421" s="50" t="n"/>
      <c r="Q421" s="51" t="str">
        <f>IF(AND(ISNUMBER($F421),$F421&gt;0,ISNUMBER($G421)),$G421/$F421,"")</f>
        <v/>
      </c>
      <c r="R421" s="51" t="str">
        <f>IF(AND(ISNUMBER($F421),$F421&gt;0,ISNUMBER($H421)),$H421/$F421,"")</f>
        <v/>
      </c>
      <c r="S421" s="52" t="str">
        <f>IF(AND(ISNUMBER($J421),ISNUMBER($L421)),IF($L421&gt;0,$J421/$L421,""),"")</f>
        <v/>
      </c>
      <c r="T421" s="53" t="str">
        <f>IF(ISNUMBER($A421),YEAR($A421)&amp;"-"&amp;TEXT(MONTH($A421),"00"),"")</f>
        <v/>
      </c>
    </row>
    <row r="422">
      <c r="A422" s="47" t="n"/>
      <c r="B422" s="48" t="n"/>
      <c r="C422" s="48" t="n"/>
      <c r="D422" s="48" t="n"/>
      <c r="E422" s="48" t="n"/>
      <c r="F422" s="49" t="n"/>
      <c r="G422" s="49" t="n"/>
      <c r="H422" s="49" t="n"/>
      <c r="I422" s="49" t="n"/>
      <c r="J422" s="49" t="n"/>
      <c r="K422" s="49" t="n"/>
      <c r="L422" s="49" t="n"/>
      <c r="M422" s="49" t="n"/>
      <c r="N422" s="49" t="n"/>
      <c r="O422" s="49" t="n"/>
      <c r="P422" s="50" t="n"/>
      <c r="Q422" s="51" t="str">
        <f>IF(AND(ISNUMBER($F422),$F422&gt;0,ISNUMBER($G422)),$G422/$F422,"")</f>
        <v/>
      </c>
      <c r="R422" s="51" t="str">
        <f>IF(AND(ISNUMBER($F422),$F422&gt;0,ISNUMBER($H422)),$H422/$F422,"")</f>
        <v/>
      </c>
      <c r="S422" s="52" t="str">
        <f>IF(AND(ISNUMBER($J422),ISNUMBER($L422)),IF($L422&gt;0,$J422/$L422,""),"")</f>
        <v/>
      </c>
      <c r="T422" s="53" t="str">
        <f>IF(ISNUMBER($A422),YEAR($A422)&amp;"-"&amp;TEXT(MONTH($A422),"00"),"")</f>
        <v/>
      </c>
    </row>
    <row r="423">
      <c r="A423" s="47" t="n"/>
      <c r="B423" s="48" t="n"/>
      <c r="C423" s="48" t="n"/>
      <c r="D423" s="48" t="n"/>
      <c r="E423" s="48" t="n"/>
      <c r="F423" s="49" t="n"/>
      <c r="G423" s="49" t="n"/>
      <c r="H423" s="49" t="n"/>
      <c r="I423" s="49" t="n"/>
      <c r="J423" s="49" t="n"/>
      <c r="K423" s="49" t="n"/>
      <c r="L423" s="49" t="n"/>
      <c r="M423" s="49" t="n"/>
      <c r="N423" s="49" t="n"/>
      <c r="O423" s="49" t="n"/>
      <c r="P423" s="50" t="n"/>
      <c r="Q423" s="51" t="str">
        <f>IF(AND(ISNUMBER($F423),$F423&gt;0,ISNUMBER($G423)),$G423/$F423,"")</f>
        <v/>
      </c>
      <c r="R423" s="51" t="str">
        <f>IF(AND(ISNUMBER($F423),$F423&gt;0,ISNUMBER($H423)),$H423/$F423,"")</f>
        <v/>
      </c>
      <c r="S423" s="52" t="str">
        <f>IF(AND(ISNUMBER($J423),ISNUMBER($L423)),IF($L423&gt;0,$J423/$L423,""),"")</f>
        <v/>
      </c>
      <c r="T423" s="53" t="str">
        <f>IF(ISNUMBER($A423),YEAR($A423)&amp;"-"&amp;TEXT(MONTH($A423),"00"),"")</f>
        <v/>
      </c>
    </row>
    <row r="424">
      <c r="A424" s="47" t="n"/>
      <c r="B424" s="48" t="n"/>
      <c r="C424" s="48" t="n"/>
      <c r="D424" s="48" t="n"/>
      <c r="E424" s="48" t="n"/>
      <c r="F424" s="49" t="n"/>
      <c r="G424" s="49" t="n"/>
      <c r="H424" s="49" t="n"/>
      <c r="I424" s="49" t="n"/>
      <c r="J424" s="49" t="n"/>
      <c r="K424" s="49" t="n"/>
      <c r="L424" s="49" t="n"/>
      <c r="M424" s="49" t="n"/>
      <c r="N424" s="49" t="n"/>
      <c r="O424" s="49" t="n"/>
      <c r="P424" s="50" t="n"/>
      <c r="Q424" s="51" t="str">
        <f>IF(AND(ISNUMBER($F424),$F424&gt;0,ISNUMBER($G424)),$G424/$F424,"")</f>
        <v/>
      </c>
      <c r="R424" s="51" t="str">
        <f>IF(AND(ISNUMBER($F424),$F424&gt;0,ISNUMBER($H424)),$H424/$F424,"")</f>
        <v/>
      </c>
      <c r="S424" s="52" t="str">
        <f>IF(AND(ISNUMBER($J424),ISNUMBER($L424)),IF($L424&gt;0,$J424/$L424,""),"")</f>
        <v/>
      </c>
      <c r="T424" s="53" t="str">
        <f>IF(ISNUMBER($A424),YEAR($A424)&amp;"-"&amp;TEXT(MONTH($A424),"00"),"")</f>
        <v/>
      </c>
    </row>
    <row r="425">
      <c r="A425" s="47" t="n"/>
      <c r="B425" s="48" t="n"/>
      <c r="C425" s="48" t="n"/>
      <c r="D425" s="48" t="n"/>
      <c r="E425" s="48" t="n"/>
      <c r="F425" s="49" t="n"/>
      <c r="G425" s="49" t="n"/>
      <c r="H425" s="49" t="n"/>
      <c r="I425" s="49" t="n"/>
      <c r="J425" s="49" t="n"/>
      <c r="K425" s="49" t="n"/>
      <c r="L425" s="49" t="n"/>
      <c r="M425" s="49" t="n"/>
      <c r="N425" s="49" t="n"/>
      <c r="O425" s="49" t="n"/>
      <c r="P425" s="50" t="n"/>
      <c r="Q425" s="51" t="str">
        <f>IF(AND(ISNUMBER($F425),$F425&gt;0,ISNUMBER($G425)),$G425/$F425,"")</f>
        <v/>
      </c>
      <c r="R425" s="51" t="str">
        <f>IF(AND(ISNUMBER($F425),$F425&gt;0,ISNUMBER($H425)),$H425/$F425,"")</f>
        <v/>
      </c>
      <c r="S425" s="52" t="str">
        <f>IF(AND(ISNUMBER($J425),ISNUMBER($L425)),IF($L425&gt;0,$J425/$L425,""),"")</f>
        <v/>
      </c>
      <c r="T425" s="53" t="str">
        <f>IF(ISNUMBER($A425),YEAR($A425)&amp;"-"&amp;TEXT(MONTH($A425),"00"),"")</f>
        <v/>
      </c>
    </row>
    <row r="426">
      <c r="A426" s="47" t="n"/>
      <c r="B426" s="48" t="n"/>
      <c r="C426" s="48" t="n"/>
      <c r="D426" s="48" t="n"/>
      <c r="E426" s="48" t="n"/>
      <c r="F426" s="49" t="n"/>
      <c r="G426" s="49" t="n"/>
      <c r="H426" s="49" t="n"/>
      <c r="I426" s="49" t="n"/>
      <c r="J426" s="49" t="n"/>
      <c r="K426" s="49" t="n"/>
      <c r="L426" s="49" t="n"/>
      <c r="M426" s="49" t="n"/>
      <c r="N426" s="49" t="n"/>
      <c r="O426" s="49" t="n"/>
      <c r="P426" s="50" t="n"/>
      <c r="Q426" s="51" t="str">
        <f>IF(AND(ISNUMBER($F426),$F426&gt;0,ISNUMBER($G426)),$G426/$F426,"")</f>
        <v/>
      </c>
      <c r="R426" s="51" t="str">
        <f>IF(AND(ISNUMBER($F426),$F426&gt;0,ISNUMBER($H426)),$H426/$F426,"")</f>
        <v/>
      </c>
      <c r="S426" s="52" t="str">
        <f>IF(AND(ISNUMBER($J426),ISNUMBER($L426)),IF($L426&gt;0,$J426/$L426,""),"")</f>
        <v/>
      </c>
      <c r="T426" s="53" t="str">
        <f>IF(ISNUMBER($A426),YEAR($A426)&amp;"-"&amp;TEXT(MONTH($A426),"00"),"")</f>
        <v/>
      </c>
    </row>
    <row r="427">
      <c r="A427" s="47" t="n"/>
      <c r="B427" s="48" t="n"/>
      <c r="C427" s="48" t="n"/>
      <c r="D427" s="48" t="n"/>
      <c r="E427" s="48" t="n"/>
      <c r="F427" s="49" t="n"/>
      <c r="G427" s="49" t="n"/>
      <c r="H427" s="49" t="n"/>
      <c r="I427" s="49" t="n"/>
      <c r="J427" s="49" t="n"/>
      <c r="K427" s="49" t="n"/>
      <c r="L427" s="49" t="n"/>
      <c r="M427" s="49" t="n"/>
      <c r="N427" s="49" t="n"/>
      <c r="O427" s="49" t="n"/>
      <c r="P427" s="50" t="n"/>
      <c r="Q427" s="51" t="str">
        <f>IF(AND(ISNUMBER($F427),$F427&gt;0,ISNUMBER($G427)),$G427/$F427,"")</f>
        <v/>
      </c>
      <c r="R427" s="51" t="str">
        <f>IF(AND(ISNUMBER($F427),$F427&gt;0,ISNUMBER($H427)),$H427/$F427,"")</f>
        <v/>
      </c>
      <c r="S427" s="52" t="str">
        <f>IF(AND(ISNUMBER($J427),ISNUMBER($L427)),IF($L427&gt;0,$J427/$L427,""),"")</f>
        <v/>
      </c>
      <c r="T427" s="53" t="str">
        <f>IF(ISNUMBER($A427),YEAR($A427)&amp;"-"&amp;TEXT(MONTH($A427),"00"),"")</f>
        <v/>
      </c>
    </row>
    <row r="428">
      <c r="A428" s="47" t="n"/>
      <c r="B428" s="48" t="n"/>
      <c r="C428" s="48" t="n"/>
      <c r="D428" s="48" t="n"/>
      <c r="E428" s="48" t="n"/>
      <c r="F428" s="49" t="n"/>
      <c r="G428" s="49" t="n"/>
      <c r="H428" s="49" t="n"/>
      <c r="I428" s="49" t="n"/>
      <c r="J428" s="49" t="n"/>
      <c r="K428" s="49" t="n"/>
      <c r="L428" s="49" t="n"/>
      <c r="M428" s="49" t="n"/>
      <c r="N428" s="49" t="n"/>
      <c r="O428" s="49" t="n"/>
      <c r="P428" s="50" t="n"/>
      <c r="Q428" s="51" t="str">
        <f>IF(AND(ISNUMBER($F428),$F428&gt;0,ISNUMBER($G428)),$G428/$F428,"")</f>
        <v/>
      </c>
      <c r="R428" s="51" t="str">
        <f>IF(AND(ISNUMBER($F428),$F428&gt;0,ISNUMBER($H428)),$H428/$F428,"")</f>
        <v/>
      </c>
      <c r="S428" s="52" t="str">
        <f>IF(AND(ISNUMBER($J428),ISNUMBER($L428)),IF($L428&gt;0,$J428/$L428,""),"")</f>
        <v/>
      </c>
      <c r="T428" s="53" t="str">
        <f>IF(ISNUMBER($A428),YEAR($A428)&amp;"-"&amp;TEXT(MONTH($A428),"00"),"")</f>
        <v/>
      </c>
    </row>
    <row r="429">
      <c r="A429" s="47" t="n"/>
      <c r="B429" s="48" t="n"/>
      <c r="C429" s="48" t="n"/>
      <c r="D429" s="48" t="n"/>
      <c r="E429" s="48" t="n"/>
      <c r="F429" s="49" t="n"/>
      <c r="G429" s="49" t="n"/>
      <c r="H429" s="49" t="n"/>
      <c r="I429" s="49" t="n"/>
      <c r="J429" s="49" t="n"/>
      <c r="K429" s="49" t="n"/>
      <c r="L429" s="49" t="n"/>
      <c r="M429" s="49" t="n"/>
      <c r="N429" s="49" t="n"/>
      <c r="O429" s="49" t="n"/>
      <c r="P429" s="50" t="n"/>
      <c r="Q429" s="51" t="str">
        <f>IF(AND(ISNUMBER($F429),$F429&gt;0,ISNUMBER($G429)),$G429/$F429,"")</f>
        <v/>
      </c>
      <c r="R429" s="51" t="str">
        <f>IF(AND(ISNUMBER($F429),$F429&gt;0,ISNUMBER($H429)),$H429/$F429,"")</f>
        <v/>
      </c>
      <c r="S429" s="52" t="str">
        <f>IF(AND(ISNUMBER($J429),ISNUMBER($L429)),IF($L429&gt;0,$J429/$L429,""),"")</f>
        <v/>
      </c>
      <c r="T429" s="53" t="str">
        <f>IF(ISNUMBER($A429),YEAR($A429)&amp;"-"&amp;TEXT(MONTH($A429),"00"),"")</f>
        <v/>
      </c>
    </row>
    <row r="430">
      <c r="A430" s="47" t="n"/>
      <c r="B430" s="48" t="n"/>
      <c r="C430" s="48" t="n"/>
      <c r="D430" s="48" t="n"/>
      <c r="E430" s="48" t="n"/>
      <c r="F430" s="49" t="n"/>
      <c r="G430" s="49" t="n"/>
      <c r="H430" s="49" t="n"/>
      <c r="I430" s="49" t="n"/>
      <c r="J430" s="49" t="n"/>
      <c r="K430" s="49" t="n"/>
      <c r="L430" s="49" t="n"/>
      <c r="M430" s="49" t="n"/>
      <c r="N430" s="49" t="n"/>
      <c r="O430" s="49" t="n"/>
      <c r="P430" s="50" t="n"/>
      <c r="Q430" s="51" t="str">
        <f>IF(AND(ISNUMBER($F430),$F430&gt;0,ISNUMBER($G430)),$G430/$F430,"")</f>
        <v/>
      </c>
      <c r="R430" s="51" t="str">
        <f>IF(AND(ISNUMBER($F430),$F430&gt;0,ISNUMBER($H430)),$H430/$F430,"")</f>
        <v/>
      </c>
      <c r="S430" s="52" t="str">
        <f>IF(AND(ISNUMBER($J430),ISNUMBER($L430)),IF($L430&gt;0,$J430/$L430,""),"")</f>
        <v/>
      </c>
      <c r="T430" s="53" t="str">
        <f>IF(ISNUMBER($A430),YEAR($A430)&amp;"-"&amp;TEXT(MONTH($A430),"00"),"")</f>
        <v/>
      </c>
    </row>
    <row r="431">
      <c r="A431" s="47" t="n"/>
      <c r="B431" s="48" t="n"/>
      <c r="C431" s="48" t="n"/>
      <c r="D431" s="48" t="n"/>
      <c r="E431" s="48" t="n"/>
      <c r="F431" s="49" t="n"/>
      <c r="G431" s="49" t="n"/>
      <c r="H431" s="49" t="n"/>
      <c r="I431" s="49" t="n"/>
      <c r="J431" s="49" t="n"/>
      <c r="K431" s="49" t="n"/>
      <c r="L431" s="49" t="n"/>
      <c r="M431" s="49" t="n"/>
      <c r="N431" s="49" t="n"/>
      <c r="O431" s="49" t="n"/>
      <c r="P431" s="50" t="n"/>
      <c r="Q431" s="51" t="str">
        <f>IF(AND(ISNUMBER($F431),$F431&gt;0,ISNUMBER($G431)),$G431/$F431,"")</f>
        <v/>
      </c>
      <c r="R431" s="51" t="str">
        <f>IF(AND(ISNUMBER($F431),$F431&gt;0,ISNUMBER($H431)),$H431/$F431,"")</f>
        <v/>
      </c>
      <c r="S431" s="52" t="str">
        <f>IF(AND(ISNUMBER($J431),ISNUMBER($L431)),IF($L431&gt;0,$J431/$L431,""),"")</f>
        <v/>
      </c>
      <c r="T431" s="53" t="str">
        <f>IF(ISNUMBER($A431),YEAR($A431)&amp;"-"&amp;TEXT(MONTH($A431),"00"),"")</f>
        <v/>
      </c>
    </row>
    <row r="432">
      <c r="A432" s="47" t="n"/>
      <c r="B432" s="48" t="n"/>
      <c r="C432" s="48" t="n"/>
      <c r="D432" s="48" t="n"/>
      <c r="E432" s="48" t="n"/>
      <c r="F432" s="49" t="n"/>
      <c r="G432" s="49" t="n"/>
      <c r="H432" s="49" t="n"/>
      <c r="I432" s="49" t="n"/>
      <c r="J432" s="49" t="n"/>
      <c r="K432" s="49" t="n"/>
      <c r="L432" s="49" t="n"/>
      <c r="M432" s="49" t="n"/>
      <c r="N432" s="49" t="n"/>
      <c r="O432" s="49" t="n"/>
      <c r="P432" s="50" t="n"/>
      <c r="Q432" s="51" t="str">
        <f>IF(AND(ISNUMBER($F432),$F432&gt;0,ISNUMBER($G432)),$G432/$F432,"")</f>
        <v/>
      </c>
      <c r="R432" s="51" t="str">
        <f>IF(AND(ISNUMBER($F432),$F432&gt;0,ISNUMBER($H432)),$H432/$F432,"")</f>
        <v/>
      </c>
      <c r="S432" s="52" t="str">
        <f>IF(AND(ISNUMBER($J432),ISNUMBER($L432)),IF($L432&gt;0,$J432/$L432,""),"")</f>
        <v/>
      </c>
      <c r="T432" s="53" t="str">
        <f>IF(ISNUMBER($A432),YEAR($A432)&amp;"-"&amp;TEXT(MONTH($A432),"00"),"")</f>
        <v/>
      </c>
    </row>
    <row r="433">
      <c r="A433" s="47" t="n"/>
      <c r="B433" s="48" t="n"/>
      <c r="C433" s="48" t="n"/>
      <c r="D433" s="48" t="n"/>
      <c r="E433" s="48" t="n"/>
      <c r="F433" s="49" t="n"/>
      <c r="G433" s="49" t="n"/>
      <c r="H433" s="49" t="n"/>
      <c r="I433" s="49" t="n"/>
      <c r="J433" s="49" t="n"/>
      <c r="K433" s="49" t="n"/>
      <c r="L433" s="49" t="n"/>
      <c r="M433" s="49" t="n"/>
      <c r="N433" s="49" t="n"/>
      <c r="O433" s="49" t="n"/>
      <c r="P433" s="50" t="n"/>
      <c r="Q433" s="51" t="str">
        <f>IF(AND(ISNUMBER($F433),$F433&gt;0,ISNUMBER($G433)),$G433/$F433,"")</f>
        <v/>
      </c>
      <c r="R433" s="51" t="str">
        <f>IF(AND(ISNUMBER($F433),$F433&gt;0,ISNUMBER($H433)),$H433/$F433,"")</f>
        <v/>
      </c>
      <c r="S433" s="52" t="str">
        <f>IF(AND(ISNUMBER($J433),ISNUMBER($L433)),IF($L433&gt;0,$J433/$L433,""),"")</f>
        <v/>
      </c>
      <c r="T433" s="53" t="str">
        <f>IF(ISNUMBER($A433),YEAR($A433)&amp;"-"&amp;TEXT(MONTH($A433),"00"),"")</f>
        <v/>
      </c>
    </row>
    <row r="434">
      <c r="A434" s="47" t="n"/>
      <c r="B434" s="48" t="n"/>
      <c r="C434" s="48" t="n"/>
      <c r="D434" s="48" t="n"/>
      <c r="E434" s="48" t="n"/>
      <c r="F434" s="49" t="n"/>
      <c r="G434" s="49" t="n"/>
      <c r="H434" s="49" t="n"/>
      <c r="I434" s="49" t="n"/>
      <c r="J434" s="49" t="n"/>
      <c r="K434" s="49" t="n"/>
      <c r="L434" s="49" t="n"/>
      <c r="M434" s="49" t="n"/>
      <c r="N434" s="49" t="n"/>
      <c r="O434" s="49" t="n"/>
      <c r="P434" s="50" t="n"/>
      <c r="Q434" s="51" t="str">
        <f>IF(AND(ISNUMBER($F434),$F434&gt;0,ISNUMBER($G434)),$G434/$F434,"")</f>
        <v/>
      </c>
      <c r="R434" s="51" t="str">
        <f>IF(AND(ISNUMBER($F434),$F434&gt;0,ISNUMBER($H434)),$H434/$F434,"")</f>
        <v/>
      </c>
      <c r="S434" s="52" t="str">
        <f>IF(AND(ISNUMBER($J434),ISNUMBER($L434)),IF($L434&gt;0,$J434/$L434,""),"")</f>
        <v/>
      </c>
      <c r="T434" s="53" t="str">
        <f>IF(ISNUMBER($A434),YEAR($A434)&amp;"-"&amp;TEXT(MONTH($A434),"00"),"")</f>
        <v/>
      </c>
    </row>
    <row r="435">
      <c r="A435" s="47" t="n"/>
      <c r="B435" s="48" t="n"/>
      <c r="C435" s="48" t="n"/>
      <c r="D435" s="48" t="n"/>
      <c r="E435" s="48" t="n"/>
      <c r="F435" s="49" t="n"/>
      <c r="G435" s="49" t="n"/>
      <c r="H435" s="49" t="n"/>
      <c r="I435" s="49" t="n"/>
      <c r="J435" s="49" t="n"/>
      <c r="K435" s="49" t="n"/>
      <c r="L435" s="49" t="n"/>
      <c r="M435" s="49" t="n"/>
      <c r="N435" s="49" t="n"/>
      <c r="O435" s="49" t="n"/>
      <c r="P435" s="50" t="n"/>
      <c r="Q435" s="51" t="str">
        <f>IF(AND(ISNUMBER($F435),$F435&gt;0,ISNUMBER($G435)),$G435/$F435,"")</f>
        <v/>
      </c>
      <c r="R435" s="51" t="str">
        <f>IF(AND(ISNUMBER($F435),$F435&gt;0,ISNUMBER($H435)),$H435/$F435,"")</f>
        <v/>
      </c>
      <c r="S435" s="52" t="str">
        <f>IF(AND(ISNUMBER($J435),ISNUMBER($L435)),IF($L435&gt;0,$J435/$L435,""),"")</f>
        <v/>
      </c>
      <c r="T435" s="53" t="str">
        <f>IF(ISNUMBER($A435),YEAR($A435)&amp;"-"&amp;TEXT(MONTH($A435),"00"),"")</f>
        <v/>
      </c>
    </row>
    <row r="436">
      <c r="A436" s="47" t="n"/>
      <c r="B436" s="48" t="n"/>
      <c r="C436" s="48" t="n"/>
      <c r="D436" s="48" t="n"/>
      <c r="E436" s="48" t="n"/>
      <c r="F436" s="49" t="n"/>
      <c r="G436" s="49" t="n"/>
      <c r="H436" s="49" t="n"/>
      <c r="I436" s="49" t="n"/>
      <c r="J436" s="49" t="n"/>
      <c r="K436" s="49" t="n"/>
      <c r="L436" s="49" t="n"/>
      <c r="M436" s="49" t="n"/>
      <c r="N436" s="49" t="n"/>
      <c r="O436" s="49" t="n"/>
      <c r="P436" s="50" t="n"/>
      <c r="Q436" s="51" t="str">
        <f>IF(AND(ISNUMBER($F436),$F436&gt;0,ISNUMBER($G436)),$G436/$F436,"")</f>
        <v/>
      </c>
      <c r="R436" s="51" t="str">
        <f>IF(AND(ISNUMBER($F436),$F436&gt;0,ISNUMBER($H436)),$H436/$F436,"")</f>
        <v/>
      </c>
      <c r="S436" s="52" t="str">
        <f>IF(AND(ISNUMBER($J436),ISNUMBER($L436)),IF($L436&gt;0,$J436/$L436,""),"")</f>
        <v/>
      </c>
      <c r="T436" s="53" t="str">
        <f>IF(ISNUMBER($A436),YEAR($A436)&amp;"-"&amp;TEXT(MONTH($A436),"00"),"")</f>
        <v/>
      </c>
    </row>
    <row r="437">
      <c r="A437" s="47" t="n"/>
      <c r="B437" s="48" t="n"/>
      <c r="C437" s="48" t="n"/>
      <c r="D437" s="48" t="n"/>
      <c r="E437" s="48" t="n"/>
      <c r="F437" s="49" t="n"/>
      <c r="G437" s="49" t="n"/>
      <c r="H437" s="49" t="n"/>
      <c r="I437" s="49" t="n"/>
      <c r="J437" s="49" t="n"/>
      <c r="K437" s="49" t="n"/>
      <c r="L437" s="49" t="n"/>
      <c r="M437" s="49" t="n"/>
      <c r="N437" s="49" t="n"/>
      <c r="O437" s="49" t="n"/>
      <c r="P437" s="50" t="n"/>
      <c r="Q437" s="51" t="str">
        <f>IF(AND(ISNUMBER($F437),$F437&gt;0,ISNUMBER($G437)),$G437/$F437,"")</f>
        <v/>
      </c>
      <c r="R437" s="51" t="str">
        <f>IF(AND(ISNUMBER($F437),$F437&gt;0,ISNUMBER($H437)),$H437/$F437,"")</f>
        <v/>
      </c>
      <c r="S437" s="52" t="str">
        <f>IF(AND(ISNUMBER($J437),ISNUMBER($L437)),IF($L437&gt;0,$J437/$L437,""),"")</f>
        <v/>
      </c>
      <c r="T437" s="53" t="str">
        <f>IF(ISNUMBER($A437),YEAR($A437)&amp;"-"&amp;TEXT(MONTH($A437),"00"),"")</f>
        <v/>
      </c>
    </row>
    <row r="438">
      <c r="A438" s="47" t="n"/>
      <c r="B438" s="48" t="n"/>
      <c r="C438" s="48" t="n"/>
      <c r="D438" s="48" t="n"/>
      <c r="E438" s="48" t="n"/>
      <c r="F438" s="49" t="n"/>
      <c r="G438" s="49" t="n"/>
      <c r="H438" s="49" t="n"/>
      <c r="I438" s="49" t="n"/>
      <c r="J438" s="49" t="n"/>
      <c r="K438" s="49" t="n"/>
      <c r="L438" s="49" t="n"/>
      <c r="M438" s="49" t="n"/>
      <c r="N438" s="49" t="n"/>
      <c r="O438" s="49" t="n"/>
      <c r="P438" s="50" t="n"/>
      <c r="Q438" s="51" t="str">
        <f>IF(AND(ISNUMBER($F438),$F438&gt;0,ISNUMBER($G438)),$G438/$F438,"")</f>
        <v/>
      </c>
      <c r="R438" s="51" t="str">
        <f>IF(AND(ISNUMBER($F438),$F438&gt;0,ISNUMBER($H438)),$H438/$F438,"")</f>
        <v/>
      </c>
      <c r="S438" s="52" t="str">
        <f>IF(AND(ISNUMBER($J438),ISNUMBER($L438)),IF($L438&gt;0,$J438/$L438,""),"")</f>
        <v/>
      </c>
      <c r="T438" s="53" t="str">
        <f>IF(ISNUMBER($A438),YEAR($A438)&amp;"-"&amp;TEXT(MONTH($A438),"00"),"")</f>
        <v/>
      </c>
    </row>
    <row r="439">
      <c r="A439" s="47" t="n"/>
      <c r="B439" s="48" t="n"/>
      <c r="C439" s="48" t="n"/>
      <c r="D439" s="48" t="n"/>
      <c r="E439" s="48" t="n"/>
      <c r="F439" s="49" t="n"/>
      <c r="G439" s="49" t="n"/>
      <c r="H439" s="49" t="n"/>
      <c r="I439" s="49" t="n"/>
      <c r="J439" s="49" t="n"/>
      <c r="K439" s="49" t="n"/>
      <c r="L439" s="49" t="n"/>
      <c r="M439" s="49" t="n"/>
      <c r="N439" s="49" t="n"/>
      <c r="O439" s="49" t="n"/>
      <c r="P439" s="50" t="n"/>
      <c r="Q439" s="51" t="str">
        <f>IF(AND(ISNUMBER($F439),$F439&gt;0,ISNUMBER($G439)),$G439/$F439,"")</f>
        <v/>
      </c>
      <c r="R439" s="51" t="str">
        <f>IF(AND(ISNUMBER($F439),$F439&gt;0,ISNUMBER($H439)),$H439/$F439,"")</f>
        <v/>
      </c>
      <c r="S439" s="52" t="str">
        <f>IF(AND(ISNUMBER($J439),ISNUMBER($L439)),IF($L439&gt;0,$J439/$L439,""),"")</f>
        <v/>
      </c>
      <c r="T439" s="53" t="str">
        <f>IF(ISNUMBER($A439),YEAR($A439)&amp;"-"&amp;TEXT(MONTH($A439),"00"),"")</f>
        <v/>
      </c>
    </row>
    <row r="440">
      <c r="A440" s="47" t="n"/>
      <c r="B440" s="48" t="n"/>
      <c r="C440" s="48" t="n"/>
      <c r="D440" s="48" t="n"/>
      <c r="E440" s="48" t="n"/>
      <c r="F440" s="49" t="n"/>
      <c r="G440" s="49" t="n"/>
      <c r="H440" s="49" t="n"/>
      <c r="I440" s="49" t="n"/>
      <c r="J440" s="49" t="n"/>
      <c r="K440" s="49" t="n"/>
      <c r="L440" s="49" t="n"/>
      <c r="M440" s="49" t="n"/>
      <c r="N440" s="49" t="n"/>
      <c r="O440" s="49" t="n"/>
      <c r="P440" s="50" t="n"/>
      <c r="Q440" s="51" t="str">
        <f>IF(AND(ISNUMBER($F440),$F440&gt;0,ISNUMBER($G440)),$G440/$F440,"")</f>
        <v/>
      </c>
      <c r="R440" s="51" t="str">
        <f>IF(AND(ISNUMBER($F440),$F440&gt;0,ISNUMBER($H440)),$H440/$F440,"")</f>
        <v/>
      </c>
      <c r="S440" s="52" t="str">
        <f>IF(AND(ISNUMBER($J440),ISNUMBER($L440)),IF($L440&gt;0,$J440/$L440,""),"")</f>
        <v/>
      </c>
      <c r="T440" s="53" t="str">
        <f>IF(ISNUMBER($A440),YEAR($A440)&amp;"-"&amp;TEXT(MONTH($A440),"00"),"")</f>
        <v/>
      </c>
    </row>
    <row r="441">
      <c r="A441" s="47" t="n"/>
      <c r="B441" s="48" t="n"/>
      <c r="C441" s="48" t="n"/>
      <c r="D441" s="48" t="n"/>
      <c r="E441" s="48" t="n"/>
      <c r="F441" s="49" t="n"/>
      <c r="G441" s="49" t="n"/>
      <c r="H441" s="49" t="n"/>
      <c r="I441" s="49" t="n"/>
      <c r="J441" s="49" t="n"/>
      <c r="K441" s="49" t="n"/>
      <c r="L441" s="49" t="n"/>
      <c r="M441" s="49" t="n"/>
      <c r="N441" s="49" t="n"/>
      <c r="O441" s="49" t="n"/>
      <c r="P441" s="50" t="n"/>
      <c r="Q441" s="51" t="str">
        <f>IF(AND(ISNUMBER($F441),$F441&gt;0,ISNUMBER($G441)),$G441/$F441,"")</f>
        <v/>
      </c>
      <c r="R441" s="51" t="str">
        <f>IF(AND(ISNUMBER($F441),$F441&gt;0,ISNUMBER($H441)),$H441/$F441,"")</f>
        <v/>
      </c>
      <c r="S441" s="52" t="str">
        <f>IF(AND(ISNUMBER($J441),ISNUMBER($L441)),IF($L441&gt;0,$J441/$L441,""),"")</f>
        <v/>
      </c>
      <c r="T441" s="53" t="str">
        <f>IF(ISNUMBER($A441),YEAR($A441)&amp;"-"&amp;TEXT(MONTH($A441),"00"),"")</f>
        <v/>
      </c>
    </row>
    <row r="442">
      <c r="A442" s="47" t="n"/>
      <c r="B442" s="48" t="n"/>
      <c r="C442" s="48" t="n"/>
      <c r="D442" s="48" t="n"/>
      <c r="E442" s="48" t="n"/>
      <c r="F442" s="49" t="n"/>
      <c r="G442" s="49" t="n"/>
      <c r="H442" s="49" t="n"/>
      <c r="I442" s="49" t="n"/>
      <c r="J442" s="49" t="n"/>
      <c r="K442" s="49" t="n"/>
      <c r="L442" s="49" t="n"/>
      <c r="M442" s="49" t="n"/>
      <c r="N442" s="49" t="n"/>
      <c r="O442" s="49" t="n"/>
      <c r="P442" s="50" t="n"/>
      <c r="Q442" s="51" t="str">
        <f>IF(AND(ISNUMBER($F442),$F442&gt;0,ISNUMBER($G442)),$G442/$F442,"")</f>
        <v/>
      </c>
      <c r="R442" s="51" t="str">
        <f>IF(AND(ISNUMBER($F442),$F442&gt;0,ISNUMBER($H442)),$H442/$F442,"")</f>
        <v/>
      </c>
      <c r="S442" s="52" t="str">
        <f>IF(AND(ISNUMBER($J442),ISNUMBER($L442)),IF($L442&gt;0,$J442/$L442,""),"")</f>
        <v/>
      </c>
      <c r="T442" s="53" t="str">
        <f>IF(ISNUMBER($A442),YEAR($A442)&amp;"-"&amp;TEXT(MONTH($A442),"00"),"")</f>
        <v/>
      </c>
    </row>
    <row r="443">
      <c r="A443" s="47" t="n"/>
      <c r="B443" s="48" t="n"/>
      <c r="C443" s="48" t="n"/>
      <c r="D443" s="48" t="n"/>
      <c r="E443" s="48" t="n"/>
      <c r="F443" s="49" t="n"/>
      <c r="G443" s="49" t="n"/>
      <c r="H443" s="49" t="n"/>
      <c r="I443" s="49" t="n"/>
      <c r="J443" s="49" t="n"/>
      <c r="K443" s="49" t="n"/>
      <c r="L443" s="49" t="n"/>
      <c r="M443" s="49" t="n"/>
      <c r="N443" s="49" t="n"/>
      <c r="O443" s="49" t="n"/>
      <c r="P443" s="50" t="n"/>
      <c r="Q443" s="51" t="str">
        <f>IF(AND(ISNUMBER($F443),$F443&gt;0,ISNUMBER($G443)),$G443/$F443,"")</f>
        <v/>
      </c>
      <c r="R443" s="51" t="str">
        <f>IF(AND(ISNUMBER($F443),$F443&gt;0,ISNUMBER($H443)),$H443/$F443,"")</f>
        <v/>
      </c>
      <c r="S443" s="52" t="str">
        <f>IF(AND(ISNUMBER($J443),ISNUMBER($L443)),IF($L443&gt;0,$J443/$L443,""),"")</f>
        <v/>
      </c>
      <c r="T443" s="53" t="str">
        <f>IF(ISNUMBER($A443),YEAR($A443)&amp;"-"&amp;TEXT(MONTH($A443),"00"),"")</f>
        <v/>
      </c>
    </row>
    <row r="444">
      <c r="A444" s="47" t="n"/>
      <c r="B444" s="48" t="n"/>
      <c r="C444" s="48" t="n"/>
      <c r="D444" s="48" t="n"/>
      <c r="E444" s="48" t="n"/>
      <c r="F444" s="49" t="n"/>
      <c r="G444" s="49" t="n"/>
      <c r="H444" s="49" t="n"/>
      <c r="I444" s="49" t="n"/>
      <c r="J444" s="49" t="n"/>
      <c r="K444" s="49" t="n"/>
      <c r="L444" s="49" t="n"/>
      <c r="M444" s="49" t="n"/>
      <c r="N444" s="49" t="n"/>
      <c r="O444" s="49" t="n"/>
      <c r="P444" s="50" t="n"/>
      <c r="Q444" s="51" t="str">
        <f>IF(AND(ISNUMBER($F444),$F444&gt;0,ISNUMBER($G444)),$G444/$F444,"")</f>
        <v/>
      </c>
      <c r="R444" s="51" t="str">
        <f>IF(AND(ISNUMBER($F444),$F444&gt;0,ISNUMBER($H444)),$H444/$F444,"")</f>
        <v/>
      </c>
      <c r="S444" s="52" t="str">
        <f>IF(AND(ISNUMBER($J444),ISNUMBER($L444)),IF($L444&gt;0,$J444/$L444,""),"")</f>
        <v/>
      </c>
      <c r="T444" s="53" t="str">
        <f>IF(ISNUMBER($A444),YEAR($A444)&amp;"-"&amp;TEXT(MONTH($A444),"00"),"")</f>
        <v/>
      </c>
    </row>
    <row r="445">
      <c r="A445" s="47" t="n"/>
      <c r="B445" s="48" t="n"/>
      <c r="C445" s="48" t="n"/>
      <c r="D445" s="48" t="n"/>
      <c r="E445" s="48" t="n"/>
      <c r="F445" s="49" t="n"/>
      <c r="G445" s="49" t="n"/>
      <c r="H445" s="49" t="n"/>
      <c r="I445" s="49" t="n"/>
      <c r="J445" s="49" t="n"/>
      <c r="K445" s="49" t="n"/>
      <c r="L445" s="49" t="n"/>
      <c r="M445" s="49" t="n"/>
      <c r="N445" s="49" t="n"/>
      <c r="O445" s="49" t="n"/>
      <c r="P445" s="50" t="n"/>
      <c r="Q445" s="51" t="str">
        <f>IF(AND(ISNUMBER($F445),$F445&gt;0,ISNUMBER($G445)),$G445/$F445,"")</f>
        <v/>
      </c>
      <c r="R445" s="51" t="str">
        <f>IF(AND(ISNUMBER($F445),$F445&gt;0,ISNUMBER($H445)),$H445/$F445,"")</f>
        <v/>
      </c>
      <c r="S445" s="52" t="str">
        <f>IF(AND(ISNUMBER($J445),ISNUMBER($L445)),IF($L445&gt;0,$J445/$L445,""),"")</f>
        <v/>
      </c>
      <c r="T445" s="53" t="str">
        <f>IF(ISNUMBER($A445),YEAR($A445)&amp;"-"&amp;TEXT(MONTH($A445),"00"),"")</f>
        <v/>
      </c>
    </row>
    <row r="446">
      <c r="A446" s="47" t="n"/>
      <c r="B446" s="48" t="n"/>
      <c r="C446" s="48" t="n"/>
      <c r="D446" s="48" t="n"/>
      <c r="E446" s="48" t="n"/>
      <c r="F446" s="49" t="n"/>
      <c r="G446" s="49" t="n"/>
      <c r="H446" s="49" t="n"/>
      <c r="I446" s="49" t="n"/>
      <c r="J446" s="49" t="n"/>
      <c r="K446" s="49" t="n"/>
      <c r="L446" s="49" t="n"/>
      <c r="M446" s="49" t="n"/>
      <c r="N446" s="49" t="n"/>
      <c r="O446" s="49" t="n"/>
      <c r="P446" s="50" t="n"/>
      <c r="Q446" s="51" t="str">
        <f>IF(AND(ISNUMBER($F446),$F446&gt;0,ISNUMBER($G446)),$G446/$F446,"")</f>
        <v/>
      </c>
      <c r="R446" s="51" t="str">
        <f>IF(AND(ISNUMBER($F446),$F446&gt;0,ISNUMBER($H446)),$H446/$F446,"")</f>
        <v/>
      </c>
      <c r="S446" s="52" t="str">
        <f>IF(AND(ISNUMBER($J446),ISNUMBER($L446)),IF($L446&gt;0,$J446/$L446,""),"")</f>
        <v/>
      </c>
      <c r="T446" s="53" t="str">
        <f>IF(ISNUMBER($A446),YEAR($A446)&amp;"-"&amp;TEXT(MONTH($A446),"00"),"")</f>
        <v/>
      </c>
    </row>
    <row r="447">
      <c r="A447" s="47" t="n"/>
      <c r="B447" s="48" t="n"/>
      <c r="C447" s="48" t="n"/>
      <c r="D447" s="48" t="n"/>
      <c r="E447" s="48" t="n"/>
      <c r="F447" s="49" t="n"/>
      <c r="G447" s="49" t="n"/>
      <c r="H447" s="49" t="n"/>
      <c r="I447" s="49" t="n"/>
      <c r="J447" s="49" t="n"/>
      <c r="K447" s="49" t="n"/>
      <c r="L447" s="49" t="n"/>
      <c r="M447" s="49" t="n"/>
      <c r="N447" s="49" t="n"/>
      <c r="O447" s="49" t="n"/>
      <c r="P447" s="50" t="n"/>
      <c r="Q447" s="51" t="str">
        <f>IF(AND(ISNUMBER($F447),$F447&gt;0,ISNUMBER($G447)),$G447/$F447,"")</f>
        <v/>
      </c>
      <c r="R447" s="51" t="str">
        <f>IF(AND(ISNUMBER($F447),$F447&gt;0,ISNUMBER($H447)),$H447/$F447,"")</f>
        <v/>
      </c>
      <c r="S447" s="52" t="str">
        <f>IF(AND(ISNUMBER($J447),ISNUMBER($L447)),IF($L447&gt;0,$J447/$L447,""),"")</f>
        <v/>
      </c>
      <c r="T447" s="53" t="str">
        <f>IF(ISNUMBER($A447),YEAR($A447)&amp;"-"&amp;TEXT(MONTH($A447),"00"),"")</f>
        <v/>
      </c>
    </row>
    <row r="448">
      <c r="A448" s="47" t="n"/>
      <c r="B448" s="48" t="n"/>
      <c r="C448" s="48" t="n"/>
      <c r="D448" s="48" t="n"/>
      <c r="E448" s="48" t="n"/>
      <c r="F448" s="49" t="n"/>
      <c r="G448" s="49" t="n"/>
      <c r="H448" s="49" t="n"/>
      <c r="I448" s="49" t="n"/>
      <c r="J448" s="49" t="n"/>
      <c r="K448" s="49" t="n"/>
      <c r="L448" s="49" t="n"/>
      <c r="M448" s="49" t="n"/>
      <c r="N448" s="49" t="n"/>
      <c r="O448" s="49" t="n"/>
      <c r="P448" s="50" t="n"/>
      <c r="Q448" s="51" t="str">
        <f>IF(AND(ISNUMBER($F448),$F448&gt;0,ISNUMBER($G448)),$G448/$F448,"")</f>
        <v/>
      </c>
      <c r="R448" s="51" t="str">
        <f>IF(AND(ISNUMBER($F448),$F448&gt;0,ISNUMBER($H448)),$H448/$F448,"")</f>
        <v/>
      </c>
      <c r="S448" s="52" t="str">
        <f>IF(AND(ISNUMBER($J448),ISNUMBER($L448)),IF($L448&gt;0,$J448/$L448,""),"")</f>
        <v/>
      </c>
      <c r="T448" s="53" t="str">
        <f>IF(ISNUMBER($A448),YEAR($A448)&amp;"-"&amp;TEXT(MONTH($A448),"00"),"")</f>
        <v/>
      </c>
    </row>
    <row r="449">
      <c r="A449" s="47" t="n"/>
      <c r="B449" s="48" t="n"/>
      <c r="C449" s="48" t="n"/>
      <c r="D449" s="48" t="n"/>
      <c r="E449" s="48" t="n"/>
      <c r="F449" s="49" t="n"/>
      <c r="G449" s="49" t="n"/>
      <c r="H449" s="49" t="n"/>
      <c r="I449" s="49" t="n"/>
      <c r="J449" s="49" t="n"/>
      <c r="K449" s="49" t="n"/>
      <c r="L449" s="49" t="n"/>
      <c r="M449" s="49" t="n"/>
      <c r="N449" s="49" t="n"/>
      <c r="O449" s="49" t="n"/>
      <c r="P449" s="50" t="n"/>
      <c r="Q449" s="51" t="str">
        <f>IF(AND(ISNUMBER($F449),$F449&gt;0,ISNUMBER($G449)),$G449/$F449,"")</f>
        <v/>
      </c>
      <c r="R449" s="51" t="str">
        <f>IF(AND(ISNUMBER($F449),$F449&gt;0,ISNUMBER($H449)),$H449/$F449,"")</f>
        <v/>
      </c>
      <c r="S449" s="52" t="str">
        <f>IF(AND(ISNUMBER($J449),ISNUMBER($L449)),IF($L449&gt;0,$J449/$L449,""),"")</f>
        <v/>
      </c>
      <c r="T449" s="53" t="str">
        <f>IF(ISNUMBER($A449),YEAR($A449)&amp;"-"&amp;TEXT(MONTH($A449),"00"),"")</f>
        <v/>
      </c>
    </row>
    <row r="450">
      <c r="A450" s="47" t="n"/>
      <c r="B450" s="48" t="n"/>
      <c r="C450" s="48" t="n"/>
      <c r="D450" s="48" t="n"/>
      <c r="E450" s="48" t="n"/>
      <c r="F450" s="49" t="n"/>
      <c r="G450" s="49" t="n"/>
      <c r="H450" s="49" t="n"/>
      <c r="I450" s="49" t="n"/>
      <c r="J450" s="49" t="n"/>
      <c r="K450" s="49" t="n"/>
      <c r="L450" s="49" t="n"/>
      <c r="M450" s="49" t="n"/>
      <c r="N450" s="49" t="n"/>
      <c r="O450" s="49" t="n"/>
      <c r="P450" s="50" t="n"/>
      <c r="Q450" s="51" t="str">
        <f>IF(AND(ISNUMBER($F450),$F450&gt;0,ISNUMBER($G450)),$G450/$F450,"")</f>
        <v/>
      </c>
      <c r="R450" s="51" t="str">
        <f>IF(AND(ISNUMBER($F450),$F450&gt;0,ISNUMBER($H450)),$H450/$F450,"")</f>
        <v/>
      </c>
      <c r="S450" s="52" t="str">
        <f>IF(AND(ISNUMBER($J450),ISNUMBER($L450)),IF($L450&gt;0,$J450/$L450,""),"")</f>
        <v/>
      </c>
      <c r="T450" s="53" t="str">
        <f>IF(ISNUMBER($A450),YEAR($A450)&amp;"-"&amp;TEXT(MONTH($A450),"00"),"")</f>
        <v/>
      </c>
    </row>
    <row r="451">
      <c r="A451" s="47" t="n"/>
      <c r="B451" s="48" t="n"/>
      <c r="C451" s="48" t="n"/>
      <c r="D451" s="48" t="n"/>
      <c r="E451" s="48" t="n"/>
      <c r="F451" s="49" t="n"/>
      <c r="G451" s="49" t="n"/>
      <c r="H451" s="49" t="n"/>
      <c r="I451" s="49" t="n"/>
      <c r="J451" s="49" t="n"/>
      <c r="K451" s="49" t="n"/>
      <c r="L451" s="49" t="n"/>
      <c r="M451" s="49" t="n"/>
      <c r="N451" s="49" t="n"/>
      <c r="O451" s="49" t="n"/>
      <c r="P451" s="50" t="n"/>
      <c r="Q451" s="51" t="str">
        <f>IF(AND(ISNUMBER($F451),$F451&gt;0,ISNUMBER($G451)),$G451/$F451,"")</f>
        <v/>
      </c>
      <c r="R451" s="51" t="str">
        <f>IF(AND(ISNUMBER($F451),$F451&gt;0,ISNUMBER($H451)),$H451/$F451,"")</f>
        <v/>
      </c>
      <c r="S451" s="52" t="str">
        <f>IF(AND(ISNUMBER($J451),ISNUMBER($L451)),IF($L451&gt;0,$J451/$L451,""),"")</f>
        <v/>
      </c>
      <c r="T451" s="53" t="str">
        <f>IF(ISNUMBER($A451),YEAR($A451)&amp;"-"&amp;TEXT(MONTH($A451),"00"),"")</f>
        <v/>
      </c>
    </row>
    <row r="452">
      <c r="A452" s="47" t="n"/>
      <c r="B452" s="48" t="n"/>
      <c r="C452" s="48" t="n"/>
      <c r="D452" s="48" t="n"/>
      <c r="E452" s="48" t="n"/>
      <c r="F452" s="49" t="n"/>
      <c r="G452" s="49" t="n"/>
      <c r="H452" s="49" t="n"/>
      <c r="I452" s="49" t="n"/>
      <c r="J452" s="49" t="n"/>
      <c r="K452" s="49" t="n"/>
      <c r="L452" s="49" t="n"/>
      <c r="M452" s="49" t="n"/>
      <c r="N452" s="49" t="n"/>
      <c r="O452" s="49" t="n"/>
      <c r="P452" s="50" t="n"/>
      <c r="Q452" s="51" t="str">
        <f>IF(AND(ISNUMBER($F452),$F452&gt;0,ISNUMBER($G452)),$G452/$F452,"")</f>
        <v/>
      </c>
      <c r="R452" s="51" t="str">
        <f>IF(AND(ISNUMBER($F452),$F452&gt;0,ISNUMBER($H452)),$H452/$F452,"")</f>
        <v/>
      </c>
      <c r="S452" s="52" t="str">
        <f>IF(AND(ISNUMBER($J452),ISNUMBER($L452)),IF($L452&gt;0,$J452/$L452,""),"")</f>
        <v/>
      </c>
      <c r="T452" s="53" t="str">
        <f>IF(ISNUMBER($A452),YEAR($A452)&amp;"-"&amp;TEXT(MONTH($A452),"00"),"")</f>
        <v/>
      </c>
    </row>
    <row r="453">
      <c r="A453" s="47" t="n"/>
      <c r="B453" s="48" t="n"/>
      <c r="C453" s="48" t="n"/>
      <c r="D453" s="48" t="n"/>
      <c r="E453" s="48" t="n"/>
      <c r="F453" s="49" t="n"/>
      <c r="G453" s="49" t="n"/>
      <c r="H453" s="49" t="n"/>
      <c r="I453" s="49" t="n"/>
      <c r="J453" s="49" t="n"/>
      <c r="K453" s="49" t="n"/>
      <c r="L453" s="49" t="n"/>
      <c r="M453" s="49" t="n"/>
      <c r="N453" s="49" t="n"/>
      <c r="O453" s="49" t="n"/>
      <c r="P453" s="50" t="n"/>
      <c r="Q453" s="51" t="str">
        <f>IF(AND(ISNUMBER($F453),$F453&gt;0,ISNUMBER($G453)),$G453/$F453,"")</f>
        <v/>
      </c>
      <c r="R453" s="51" t="str">
        <f>IF(AND(ISNUMBER($F453),$F453&gt;0,ISNUMBER($H453)),$H453/$F453,"")</f>
        <v/>
      </c>
      <c r="S453" s="52" t="str">
        <f>IF(AND(ISNUMBER($J453),ISNUMBER($L453)),IF($L453&gt;0,$J453/$L453,""),"")</f>
        <v/>
      </c>
      <c r="T453" s="53" t="str">
        <f>IF(ISNUMBER($A453),YEAR($A453)&amp;"-"&amp;TEXT(MONTH($A453),"00"),"")</f>
        <v/>
      </c>
    </row>
    <row r="454">
      <c r="A454" s="47" t="n"/>
      <c r="B454" s="48" t="n"/>
      <c r="C454" s="48" t="n"/>
      <c r="D454" s="48" t="n"/>
      <c r="E454" s="48" t="n"/>
      <c r="F454" s="49" t="n"/>
      <c r="G454" s="49" t="n"/>
      <c r="H454" s="49" t="n"/>
      <c r="I454" s="49" t="n"/>
      <c r="J454" s="49" t="n"/>
      <c r="K454" s="49" t="n"/>
      <c r="L454" s="49" t="n"/>
      <c r="M454" s="49" t="n"/>
      <c r="N454" s="49" t="n"/>
      <c r="O454" s="49" t="n"/>
      <c r="P454" s="50" t="n"/>
      <c r="Q454" s="51" t="str">
        <f>IF(AND(ISNUMBER($F454),$F454&gt;0,ISNUMBER($G454)),$G454/$F454,"")</f>
        <v/>
      </c>
      <c r="R454" s="51" t="str">
        <f>IF(AND(ISNUMBER($F454),$F454&gt;0,ISNUMBER($H454)),$H454/$F454,"")</f>
        <v/>
      </c>
      <c r="S454" s="52" t="str">
        <f>IF(AND(ISNUMBER($J454),ISNUMBER($L454)),IF($L454&gt;0,$J454/$L454,""),"")</f>
        <v/>
      </c>
      <c r="T454" s="53" t="str">
        <f>IF(ISNUMBER($A454),YEAR($A454)&amp;"-"&amp;TEXT(MONTH($A454),"00"),"")</f>
        <v/>
      </c>
    </row>
    <row r="455">
      <c r="A455" s="47" t="n"/>
      <c r="B455" s="48" t="n"/>
      <c r="C455" s="48" t="n"/>
      <c r="D455" s="48" t="n"/>
      <c r="E455" s="48" t="n"/>
      <c r="F455" s="49" t="n"/>
      <c r="G455" s="49" t="n"/>
      <c r="H455" s="49" t="n"/>
      <c r="I455" s="49" t="n"/>
      <c r="J455" s="49" t="n"/>
      <c r="K455" s="49" t="n"/>
      <c r="L455" s="49" t="n"/>
      <c r="M455" s="49" t="n"/>
      <c r="N455" s="49" t="n"/>
      <c r="O455" s="49" t="n"/>
      <c r="P455" s="50" t="n"/>
      <c r="Q455" s="51" t="str">
        <f>IF(AND(ISNUMBER($F455),$F455&gt;0,ISNUMBER($G455)),$G455/$F455,"")</f>
        <v/>
      </c>
      <c r="R455" s="51" t="str">
        <f>IF(AND(ISNUMBER($F455),$F455&gt;0,ISNUMBER($H455)),$H455/$F455,"")</f>
        <v/>
      </c>
      <c r="S455" s="52" t="str">
        <f>IF(AND(ISNUMBER($J455),ISNUMBER($L455)),IF($L455&gt;0,$J455/$L455,""),"")</f>
        <v/>
      </c>
      <c r="T455" s="53" t="str">
        <f>IF(ISNUMBER($A455),YEAR($A455)&amp;"-"&amp;TEXT(MONTH($A455),"00"),"")</f>
        <v/>
      </c>
    </row>
    <row r="456">
      <c r="A456" s="47" t="n"/>
      <c r="B456" s="48" t="n"/>
      <c r="C456" s="48" t="n"/>
      <c r="D456" s="48" t="n"/>
      <c r="E456" s="48" t="n"/>
      <c r="F456" s="49" t="n"/>
      <c r="G456" s="49" t="n"/>
      <c r="H456" s="49" t="n"/>
      <c r="I456" s="49" t="n"/>
      <c r="J456" s="49" t="n"/>
      <c r="K456" s="49" t="n"/>
      <c r="L456" s="49" t="n"/>
      <c r="M456" s="49" t="n"/>
      <c r="N456" s="49" t="n"/>
      <c r="O456" s="49" t="n"/>
      <c r="P456" s="50" t="n"/>
      <c r="Q456" s="51" t="str">
        <f>IF(AND(ISNUMBER($F456),$F456&gt;0,ISNUMBER($G456)),$G456/$F456,"")</f>
        <v/>
      </c>
      <c r="R456" s="51" t="str">
        <f>IF(AND(ISNUMBER($F456),$F456&gt;0,ISNUMBER($H456)),$H456/$F456,"")</f>
        <v/>
      </c>
      <c r="S456" s="52" t="str">
        <f>IF(AND(ISNUMBER($J456),ISNUMBER($L456)),IF($L456&gt;0,$J456/$L456,""),"")</f>
        <v/>
      </c>
      <c r="T456" s="53" t="str">
        <f>IF(ISNUMBER($A456),YEAR($A456)&amp;"-"&amp;TEXT(MONTH($A456),"00"),"")</f>
        <v/>
      </c>
    </row>
    <row r="457">
      <c r="A457" s="47" t="n"/>
      <c r="B457" s="48" t="n"/>
      <c r="C457" s="48" t="n"/>
      <c r="D457" s="48" t="n"/>
      <c r="E457" s="48" t="n"/>
      <c r="F457" s="49" t="n"/>
      <c r="G457" s="49" t="n"/>
      <c r="H457" s="49" t="n"/>
      <c r="I457" s="49" t="n"/>
      <c r="J457" s="49" t="n"/>
      <c r="K457" s="49" t="n"/>
      <c r="L457" s="49" t="n"/>
      <c r="M457" s="49" t="n"/>
      <c r="N457" s="49" t="n"/>
      <c r="O457" s="49" t="n"/>
      <c r="P457" s="50" t="n"/>
      <c r="Q457" s="51" t="str">
        <f>IF(AND(ISNUMBER($F457),$F457&gt;0,ISNUMBER($G457)),$G457/$F457,"")</f>
        <v/>
      </c>
      <c r="R457" s="51" t="str">
        <f>IF(AND(ISNUMBER($F457),$F457&gt;0,ISNUMBER($H457)),$H457/$F457,"")</f>
        <v/>
      </c>
      <c r="S457" s="52" t="str">
        <f>IF(AND(ISNUMBER($J457),ISNUMBER($L457)),IF($L457&gt;0,$J457/$L457,""),"")</f>
        <v/>
      </c>
      <c r="T457" s="53" t="str">
        <f>IF(ISNUMBER($A457),YEAR($A457)&amp;"-"&amp;TEXT(MONTH($A457),"00"),"")</f>
        <v/>
      </c>
    </row>
    <row r="458">
      <c r="A458" s="47" t="n"/>
      <c r="B458" s="48" t="n"/>
      <c r="C458" s="48" t="n"/>
      <c r="D458" s="48" t="n"/>
      <c r="E458" s="48" t="n"/>
      <c r="F458" s="49" t="n"/>
      <c r="G458" s="49" t="n"/>
      <c r="H458" s="49" t="n"/>
      <c r="I458" s="49" t="n"/>
      <c r="J458" s="49" t="n"/>
      <c r="K458" s="49" t="n"/>
      <c r="L458" s="49" t="n"/>
      <c r="M458" s="49" t="n"/>
      <c r="N458" s="49" t="n"/>
      <c r="O458" s="49" t="n"/>
      <c r="P458" s="50" t="n"/>
      <c r="Q458" s="51" t="str">
        <f>IF(AND(ISNUMBER($F458),$F458&gt;0,ISNUMBER($G458)),$G458/$F458,"")</f>
        <v/>
      </c>
      <c r="R458" s="51" t="str">
        <f>IF(AND(ISNUMBER($F458),$F458&gt;0,ISNUMBER($H458)),$H458/$F458,"")</f>
        <v/>
      </c>
      <c r="S458" s="52" t="str">
        <f>IF(AND(ISNUMBER($J458),ISNUMBER($L458)),IF($L458&gt;0,$J458/$L458,""),"")</f>
        <v/>
      </c>
      <c r="T458" s="53" t="str">
        <f>IF(ISNUMBER($A458),YEAR($A458)&amp;"-"&amp;TEXT(MONTH($A458),"00"),"")</f>
        <v/>
      </c>
    </row>
    <row r="459">
      <c r="A459" s="47" t="n"/>
      <c r="B459" s="48" t="n"/>
      <c r="C459" s="48" t="n"/>
      <c r="D459" s="48" t="n"/>
      <c r="E459" s="48" t="n"/>
      <c r="F459" s="49" t="n"/>
      <c r="G459" s="49" t="n"/>
      <c r="H459" s="49" t="n"/>
      <c r="I459" s="49" t="n"/>
      <c r="J459" s="49" t="n"/>
      <c r="K459" s="49" t="n"/>
      <c r="L459" s="49" t="n"/>
      <c r="M459" s="49" t="n"/>
      <c r="N459" s="49" t="n"/>
      <c r="O459" s="49" t="n"/>
      <c r="P459" s="50" t="n"/>
      <c r="Q459" s="51" t="str">
        <f>IF(AND(ISNUMBER($F459),$F459&gt;0,ISNUMBER($G459)),$G459/$F459,"")</f>
        <v/>
      </c>
      <c r="R459" s="51" t="str">
        <f>IF(AND(ISNUMBER($F459),$F459&gt;0,ISNUMBER($H459)),$H459/$F459,"")</f>
        <v/>
      </c>
      <c r="S459" s="52" t="str">
        <f>IF(AND(ISNUMBER($J459),ISNUMBER($L459)),IF($L459&gt;0,$J459/$L459,""),"")</f>
        <v/>
      </c>
      <c r="T459" s="53" t="str">
        <f>IF(ISNUMBER($A459),YEAR($A459)&amp;"-"&amp;TEXT(MONTH($A459),"00"),"")</f>
        <v/>
      </c>
    </row>
    <row r="460">
      <c r="A460" s="47" t="n"/>
      <c r="B460" s="48" t="n"/>
      <c r="C460" s="48" t="n"/>
      <c r="D460" s="48" t="n"/>
      <c r="E460" s="48" t="n"/>
      <c r="F460" s="49" t="n"/>
      <c r="G460" s="49" t="n"/>
      <c r="H460" s="49" t="n"/>
      <c r="I460" s="49" t="n"/>
      <c r="J460" s="49" t="n"/>
      <c r="K460" s="49" t="n"/>
      <c r="L460" s="49" t="n"/>
      <c r="M460" s="49" t="n"/>
      <c r="N460" s="49" t="n"/>
      <c r="O460" s="49" t="n"/>
      <c r="P460" s="50" t="n"/>
      <c r="Q460" s="51" t="str">
        <f>IF(AND(ISNUMBER($F460),$F460&gt;0,ISNUMBER($G460)),$G460/$F460,"")</f>
        <v/>
      </c>
      <c r="R460" s="51" t="str">
        <f>IF(AND(ISNUMBER($F460),$F460&gt;0,ISNUMBER($H460)),$H460/$F460,"")</f>
        <v/>
      </c>
      <c r="S460" s="52" t="str">
        <f>IF(AND(ISNUMBER($J460),ISNUMBER($L460)),IF($L460&gt;0,$J460/$L460,""),"")</f>
        <v/>
      </c>
      <c r="T460" s="53" t="str">
        <f>IF(ISNUMBER($A460),YEAR($A460)&amp;"-"&amp;TEXT(MONTH($A460),"00"),"")</f>
        <v/>
      </c>
    </row>
    <row r="461">
      <c r="A461" s="47" t="n"/>
      <c r="B461" s="48" t="n"/>
      <c r="C461" s="48" t="n"/>
      <c r="D461" s="48" t="n"/>
      <c r="E461" s="48" t="n"/>
      <c r="F461" s="49" t="n"/>
      <c r="G461" s="49" t="n"/>
      <c r="H461" s="49" t="n"/>
      <c r="I461" s="49" t="n"/>
      <c r="J461" s="49" t="n"/>
      <c r="K461" s="49" t="n"/>
      <c r="L461" s="49" t="n"/>
      <c r="M461" s="49" t="n"/>
      <c r="N461" s="49" t="n"/>
      <c r="O461" s="49" t="n"/>
      <c r="P461" s="50" t="n"/>
      <c r="Q461" s="51" t="str">
        <f>IF(AND(ISNUMBER($F461),$F461&gt;0,ISNUMBER($G461)),$G461/$F461,"")</f>
        <v/>
      </c>
      <c r="R461" s="51" t="str">
        <f>IF(AND(ISNUMBER($F461),$F461&gt;0,ISNUMBER($H461)),$H461/$F461,"")</f>
        <v/>
      </c>
      <c r="S461" s="52" t="str">
        <f>IF(AND(ISNUMBER($J461),ISNUMBER($L461)),IF($L461&gt;0,$J461/$L461,""),"")</f>
        <v/>
      </c>
      <c r="T461" s="53" t="str">
        <f>IF(ISNUMBER($A461),YEAR($A461)&amp;"-"&amp;TEXT(MONTH($A461),"00"),"")</f>
        <v/>
      </c>
    </row>
    <row r="462">
      <c r="A462" s="47" t="n"/>
      <c r="B462" s="48" t="n"/>
      <c r="C462" s="48" t="n"/>
      <c r="D462" s="48" t="n"/>
      <c r="E462" s="48" t="n"/>
      <c r="F462" s="49" t="n"/>
      <c r="G462" s="49" t="n"/>
      <c r="H462" s="49" t="n"/>
      <c r="I462" s="49" t="n"/>
      <c r="J462" s="49" t="n"/>
      <c r="K462" s="49" t="n"/>
      <c r="L462" s="49" t="n"/>
      <c r="M462" s="49" t="n"/>
      <c r="N462" s="49" t="n"/>
      <c r="O462" s="49" t="n"/>
      <c r="P462" s="50" t="n"/>
      <c r="Q462" s="51" t="str">
        <f>IF(AND(ISNUMBER($F462),$F462&gt;0,ISNUMBER($G462)),$G462/$F462,"")</f>
        <v/>
      </c>
      <c r="R462" s="51" t="str">
        <f>IF(AND(ISNUMBER($F462),$F462&gt;0,ISNUMBER($H462)),$H462/$F462,"")</f>
        <v/>
      </c>
      <c r="S462" s="52" t="str">
        <f>IF(AND(ISNUMBER($J462),ISNUMBER($L462)),IF($L462&gt;0,$J462/$L462,""),"")</f>
        <v/>
      </c>
      <c r="T462" s="53" t="str">
        <f>IF(ISNUMBER($A462),YEAR($A462)&amp;"-"&amp;TEXT(MONTH($A462),"00"),"")</f>
        <v/>
      </c>
    </row>
    <row r="463">
      <c r="A463" s="47" t="n"/>
      <c r="B463" s="48" t="n"/>
      <c r="C463" s="48" t="n"/>
      <c r="D463" s="48" t="n"/>
      <c r="E463" s="48" t="n"/>
      <c r="F463" s="49" t="n"/>
      <c r="G463" s="49" t="n"/>
      <c r="H463" s="49" t="n"/>
      <c r="I463" s="49" t="n"/>
      <c r="J463" s="49" t="n"/>
      <c r="K463" s="49" t="n"/>
      <c r="L463" s="49" t="n"/>
      <c r="M463" s="49" t="n"/>
      <c r="N463" s="49" t="n"/>
      <c r="O463" s="49" t="n"/>
      <c r="P463" s="50" t="n"/>
      <c r="Q463" s="51" t="str">
        <f>IF(AND(ISNUMBER($F463),$F463&gt;0,ISNUMBER($G463)),$G463/$F463,"")</f>
        <v/>
      </c>
      <c r="R463" s="51" t="str">
        <f>IF(AND(ISNUMBER($F463),$F463&gt;0,ISNUMBER($H463)),$H463/$F463,"")</f>
        <v/>
      </c>
      <c r="S463" s="52" t="str">
        <f>IF(AND(ISNUMBER($J463),ISNUMBER($L463)),IF($L463&gt;0,$J463/$L463,""),"")</f>
        <v/>
      </c>
      <c r="T463" s="53" t="str">
        <f>IF(ISNUMBER($A463),YEAR($A463)&amp;"-"&amp;TEXT(MONTH($A463),"00"),"")</f>
        <v/>
      </c>
    </row>
    <row r="464">
      <c r="A464" s="47" t="n"/>
      <c r="B464" s="48" t="n"/>
      <c r="C464" s="48" t="n"/>
      <c r="D464" s="48" t="n"/>
      <c r="E464" s="48" t="n"/>
      <c r="F464" s="49" t="n"/>
      <c r="G464" s="49" t="n"/>
      <c r="H464" s="49" t="n"/>
      <c r="I464" s="49" t="n"/>
      <c r="J464" s="49" t="n"/>
      <c r="K464" s="49" t="n"/>
      <c r="L464" s="49" t="n"/>
      <c r="M464" s="49" t="n"/>
      <c r="N464" s="49" t="n"/>
      <c r="O464" s="49" t="n"/>
      <c r="P464" s="50" t="n"/>
      <c r="Q464" s="51" t="str">
        <f>IF(AND(ISNUMBER($F464),$F464&gt;0,ISNUMBER($G464)),$G464/$F464,"")</f>
        <v/>
      </c>
      <c r="R464" s="51" t="str">
        <f>IF(AND(ISNUMBER($F464),$F464&gt;0,ISNUMBER($H464)),$H464/$F464,"")</f>
        <v/>
      </c>
      <c r="S464" s="52" t="str">
        <f>IF(AND(ISNUMBER($J464),ISNUMBER($L464)),IF($L464&gt;0,$J464/$L464,""),"")</f>
        <v/>
      </c>
      <c r="T464" s="53" t="str">
        <f>IF(ISNUMBER($A464),YEAR($A464)&amp;"-"&amp;TEXT(MONTH($A464),"00"),"")</f>
        <v/>
      </c>
    </row>
    <row r="465">
      <c r="A465" s="47" t="n"/>
      <c r="B465" s="48" t="n"/>
      <c r="C465" s="48" t="n"/>
      <c r="D465" s="48" t="n"/>
      <c r="E465" s="48" t="n"/>
      <c r="F465" s="49" t="n"/>
      <c r="G465" s="49" t="n"/>
      <c r="H465" s="49" t="n"/>
      <c r="I465" s="49" t="n"/>
      <c r="J465" s="49" t="n"/>
      <c r="K465" s="49" t="n"/>
      <c r="L465" s="49" t="n"/>
      <c r="M465" s="49" t="n"/>
      <c r="N465" s="49" t="n"/>
      <c r="O465" s="49" t="n"/>
      <c r="P465" s="50" t="n"/>
      <c r="Q465" s="51" t="str">
        <f>IF(AND(ISNUMBER($F465),$F465&gt;0,ISNUMBER($G465)),$G465/$F465,"")</f>
        <v/>
      </c>
      <c r="R465" s="51" t="str">
        <f>IF(AND(ISNUMBER($F465),$F465&gt;0,ISNUMBER($H465)),$H465/$F465,"")</f>
        <v/>
      </c>
      <c r="S465" s="52" t="str">
        <f>IF(AND(ISNUMBER($J465),ISNUMBER($L465)),IF($L465&gt;0,$J465/$L465,""),"")</f>
        <v/>
      </c>
      <c r="T465" s="53" t="str">
        <f>IF(ISNUMBER($A465),YEAR($A465)&amp;"-"&amp;TEXT(MONTH($A465),"00"),"")</f>
        <v/>
      </c>
    </row>
    <row r="466">
      <c r="A466" s="47" t="n"/>
      <c r="B466" s="48" t="n"/>
      <c r="C466" s="48" t="n"/>
      <c r="D466" s="48" t="n"/>
      <c r="E466" s="48" t="n"/>
      <c r="F466" s="49" t="n"/>
      <c r="G466" s="49" t="n"/>
      <c r="H466" s="49" t="n"/>
      <c r="I466" s="49" t="n"/>
      <c r="J466" s="49" t="n"/>
      <c r="K466" s="49" t="n"/>
      <c r="L466" s="49" t="n"/>
      <c r="M466" s="49" t="n"/>
      <c r="N466" s="49" t="n"/>
      <c r="O466" s="49" t="n"/>
      <c r="P466" s="50" t="n"/>
      <c r="Q466" s="51" t="str">
        <f>IF(AND(ISNUMBER($F466),$F466&gt;0,ISNUMBER($G466)),$G466/$F466,"")</f>
        <v/>
      </c>
      <c r="R466" s="51" t="str">
        <f>IF(AND(ISNUMBER($F466),$F466&gt;0,ISNUMBER($H466)),$H466/$F466,"")</f>
        <v/>
      </c>
      <c r="S466" s="52" t="str">
        <f>IF(AND(ISNUMBER($J466),ISNUMBER($L466)),IF($L466&gt;0,$J466/$L466,""),"")</f>
        <v/>
      </c>
      <c r="T466" s="53" t="str">
        <f>IF(ISNUMBER($A466),YEAR($A466)&amp;"-"&amp;TEXT(MONTH($A466),"00"),"")</f>
        <v/>
      </c>
    </row>
    <row r="467">
      <c r="A467" s="47" t="n"/>
      <c r="B467" s="48" t="n"/>
      <c r="C467" s="48" t="n"/>
      <c r="D467" s="48" t="n"/>
      <c r="E467" s="48" t="n"/>
      <c r="F467" s="49" t="n"/>
      <c r="G467" s="49" t="n"/>
      <c r="H467" s="49" t="n"/>
      <c r="I467" s="49" t="n"/>
      <c r="J467" s="49" t="n"/>
      <c r="K467" s="49" t="n"/>
      <c r="L467" s="49" t="n"/>
      <c r="M467" s="49" t="n"/>
      <c r="N467" s="49" t="n"/>
      <c r="O467" s="49" t="n"/>
      <c r="P467" s="50" t="n"/>
      <c r="Q467" s="51" t="str">
        <f>IF(AND(ISNUMBER($F467),$F467&gt;0,ISNUMBER($G467)),$G467/$F467,"")</f>
        <v/>
      </c>
      <c r="R467" s="51" t="str">
        <f>IF(AND(ISNUMBER($F467),$F467&gt;0,ISNUMBER($H467)),$H467/$F467,"")</f>
        <v/>
      </c>
      <c r="S467" s="52" t="str">
        <f>IF(AND(ISNUMBER($J467),ISNUMBER($L467)),IF($L467&gt;0,$J467/$L467,""),"")</f>
        <v/>
      </c>
      <c r="T467" s="53" t="str">
        <f>IF(ISNUMBER($A467),YEAR($A467)&amp;"-"&amp;TEXT(MONTH($A467),"00"),"")</f>
        <v/>
      </c>
    </row>
    <row r="468">
      <c r="A468" s="47" t="n"/>
      <c r="B468" s="48" t="n"/>
      <c r="C468" s="48" t="n"/>
      <c r="D468" s="48" t="n"/>
      <c r="E468" s="48" t="n"/>
      <c r="F468" s="49" t="n"/>
      <c r="G468" s="49" t="n"/>
      <c r="H468" s="49" t="n"/>
      <c r="I468" s="49" t="n"/>
      <c r="J468" s="49" t="n"/>
      <c r="K468" s="49" t="n"/>
      <c r="L468" s="49" t="n"/>
      <c r="M468" s="49" t="n"/>
      <c r="N468" s="49" t="n"/>
      <c r="O468" s="49" t="n"/>
      <c r="P468" s="50" t="n"/>
      <c r="Q468" s="51" t="str">
        <f>IF(AND(ISNUMBER($F468),$F468&gt;0,ISNUMBER($G468)),$G468/$F468,"")</f>
        <v/>
      </c>
      <c r="R468" s="51" t="str">
        <f>IF(AND(ISNUMBER($F468),$F468&gt;0,ISNUMBER($H468)),$H468/$F468,"")</f>
        <v/>
      </c>
      <c r="S468" s="52" t="str">
        <f>IF(AND(ISNUMBER($J468),ISNUMBER($L468)),IF($L468&gt;0,$J468/$L468,""),"")</f>
        <v/>
      </c>
      <c r="T468" s="53" t="str">
        <f>IF(ISNUMBER($A468),YEAR($A468)&amp;"-"&amp;TEXT(MONTH($A468),"00"),"")</f>
        <v/>
      </c>
    </row>
    <row r="469">
      <c r="A469" s="47" t="n"/>
      <c r="B469" s="48" t="n"/>
      <c r="C469" s="48" t="n"/>
      <c r="D469" s="48" t="n"/>
      <c r="E469" s="48" t="n"/>
      <c r="F469" s="49" t="n"/>
      <c r="G469" s="49" t="n"/>
      <c r="H469" s="49" t="n"/>
      <c r="I469" s="49" t="n"/>
      <c r="J469" s="49" t="n"/>
      <c r="K469" s="49" t="n"/>
      <c r="L469" s="49" t="n"/>
      <c r="M469" s="49" t="n"/>
      <c r="N469" s="49" t="n"/>
      <c r="O469" s="49" t="n"/>
      <c r="P469" s="50" t="n"/>
      <c r="Q469" s="51" t="str">
        <f>IF(AND(ISNUMBER($F469),$F469&gt;0,ISNUMBER($G469)),$G469/$F469,"")</f>
        <v/>
      </c>
      <c r="R469" s="51" t="str">
        <f>IF(AND(ISNUMBER($F469),$F469&gt;0,ISNUMBER($H469)),$H469/$F469,"")</f>
        <v/>
      </c>
      <c r="S469" s="52" t="str">
        <f>IF(AND(ISNUMBER($J469),ISNUMBER($L469)),IF($L469&gt;0,$J469/$L469,""),"")</f>
        <v/>
      </c>
      <c r="T469" s="53" t="str">
        <f>IF(ISNUMBER($A469),YEAR($A469)&amp;"-"&amp;TEXT(MONTH($A469),"00"),"")</f>
        <v/>
      </c>
    </row>
    <row r="470">
      <c r="A470" s="47" t="n"/>
      <c r="B470" s="48" t="n"/>
      <c r="C470" s="48" t="n"/>
      <c r="D470" s="48" t="n"/>
      <c r="E470" s="48" t="n"/>
      <c r="F470" s="49" t="n"/>
      <c r="G470" s="49" t="n"/>
      <c r="H470" s="49" t="n"/>
      <c r="I470" s="49" t="n"/>
      <c r="J470" s="49" t="n"/>
      <c r="K470" s="49" t="n"/>
      <c r="L470" s="49" t="n"/>
      <c r="M470" s="49" t="n"/>
      <c r="N470" s="49" t="n"/>
      <c r="O470" s="49" t="n"/>
      <c r="P470" s="50" t="n"/>
      <c r="Q470" s="51" t="str">
        <f>IF(AND(ISNUMBER($F470),$F470&gt;0,ISNUMBER($G470)),$G470/$F470,"")</f>
        <v/>
      </c>
      <c r="R470" s="51" t="str">
        <f>IF(AND(ISNUMBER($F470),$F470&gt;0,ISNUMBER($H470)),$H470/$F470,"")</f>
        <v/>
      </c>
      <c r="S470" s="52" t="str">
        <f>IF(AND(ISNUMBER($J470),ISNUMBER($L470)),IF($L470&gt;0,$J470/$L470,""),"")</f>
        <v/>
      </c>
      <c r="T470" s="53" t="str">
        <f>IF(ISNUMBER($A470),YEAR($A470)&amp;"-"&amp;TEXT(MONTH($A470),"00"),"")</f>
        <v/>
      </c>
    </row>
    <row r="471">
      <c r="A471" s="47" t="n"/>
      <c r="B471" s="48" t="n"/>
      <c r="C471" s="48" t="n"/>
      <c r="D471" s="48" t="n"/>
      <c r="E471" s="48" t="n"/>
      <c r="F471" s="49" t="n"/>
      <c r="G471" s="49" t="n"/>
      <c r="H471" s="49" t="n"/>
      <c r="I471" s="49" t="n"/>
      <c r="J471" s="49" t="n"/>
      <c r="K471" s="49" t="n"/>
      <c r="L471" s="49" t="n"/>
      <c r="M471" s="49" t="n"/>
      <c r="N471" s="49" t="n"/>
      <c r="O471" s="49" t="n"/>
      <c r="P471" s="50" t="n"/>
      <c r="Q471" s="51" t="str">
        <f>IF(AND(ISNUMBER($F471),$F471&gt;0,ISNUMBER($G471)),$G471/$F471,"")</f>
        <v/>
      </c>
      <c r="R471" s="51" t="str">
        <f>IF(AND(ISNUMBER($F471),$F471&gt;0,ISNUMBER($H471)),$H471/$F471,"")</f>
        <v/>
      </c>
      <c r="S471" s="52" t="str">
        <f>IF(AND(ISNUMBER($J471),ISNUMBER($L471)),IF($L471&gt;0,$J471/$L471,""),"")</f>
        <v/>
      </c>
      <c r="T471" s="53" t="str">
        <f>IF(ISNUMBER($A471),YEAR($A471)&amp;"-"&amp;TEXT(MONTH($A471),"00"),"")</f>
        <v/>
      </c>
    </row>
    <row r="472">
      <c r="A472" s="47" t="n"/>
      <c r="B472" s="48" t="n"/>
      <c r="C472" s="48" t="n"/>
      <c r="D472" s="48" t="n"/>
      <c r="E472" s="48" t="n"/>
      <c r="F472" s="49" t="n"/>
      <c r="G472" s="49" t="n"/>
      <c r="H472" s="49" t="n"/>
      <c r="I472" s="49" t="n"/>
      <c r="J472" s="49" t="n"/>
      <c r="K472" s="49" t="n"/>
      <c r="L472" s="49" t="n"/>
      <c r="M472" s="49" t="n"/>
      <c r="N472" s="49" t="n"/>
      <c r="O472" s="49" t="n"/>
      <c r="P472" s="50" t="n"/>
      <c r="Q472" s="51" t="str">
        <f>IF(AND(ISNUMBER($F472),$F472&gt;0,ISNUMBER($G472)),$G472/$F472,"")</f>
        <v/>
      </c>
      <c r="R472" s="51" t="str">
        <f>IF(AND(ISNUMBER($F472),$F472&gt;0,ISNUMBER($H472)),$H472/$F472,"")</f>
        <v/>
      </c>
      <c r="S472" s="52" t="str">
        <f>IF(AND(ISNUMBER($J472),ISNUMBER($L472)),IF($L472&gt;0,$J472/$L472,""),"")</f>
        <v/>
      </c>
      <c r="T472" s="53" t="str">
        <f>IF(ISNUMBER($A472),YEAR($A472)&amp;"-"&amp;TEXT(MONTH($A472),"00"),"")</f>
        <v/>
      </c>
    </row>
    <row r="473">
      <c r="A473" s="47" t="n"/>
      <c r="B473" s="48" t="n"/>
      <c r="C473" s="48" t="n"/>
      <c r="D473" s="48" t="n"/>
      <c r="E473" s="48" t="n"/>
      <c r="F473" s="49" t="n"/>
      <c r="G473" s="49" t="n"/>
      <c r="H473" s="49" t="n"/>
      <c r="I473" s="49" t="n"/>
      <c r="J473" s="49" t="n"/>
      <c r="K473" s="49" t="n"/>
      <c r="L473" s="49" t="n"/>
      <c r="M473" s="49" t="n"/>
      <c r="N473" s="49" t="n"/>
      <c r="O473" s="49" t="n"/>
      <c r="P473" s="50" t="n"/>
      <c r="Q473" s="51" t="str">
        <f>IF(AND(ISNUMBER($F473),$F473&gt;0,ISNUMBER($G473)),$G473/$F473,"")</f>
        <v/>
      </c>
      <c r="R473" s="51" t="str">
        <f>IF(AND(ISNUMBER($F473),$F473&gt;0,ISNUMBER($H473)),$H473/$F473,"")</f>
        <v/>
      </c>
      <c r="S473" s="52" t="str">
        <f>IF(AND(ISNUMBER($J473),ISNUMBER($L473)),IF($L473&gt;0,$J473/$L473,""),"")</f>
        <v/>
      </c>
      <c r="T473" s="53" t="str">
        <f>IF(ISNUMBER($A473),YEAR($A473)&amp;"-"&amp;TEXT(MONTH($A473),"00"),"")</f>
        <v/>
      </c>
    </row>
    <row r="474">
      <c r="A474" s="47" t="n"/>
      <c r="B474" s="48" t="n"/>
      <c r="C474" s="48" t="n"/>
      <c r="D474" s="48" t="n"/>
      <c r="E474" s="48" t="n"/>
      <c r="F474" s="49" t="n"/>
      <c r="G474" s="49" t="n"/>
      <c r="H474" s="49" t="n"/>
      <c r="I474" s="49" t="n"/>
      <c r="J474" s="49" t="n"/>
      <c r="K474" s="49" t="n"/>
      <c r="L474" s="49" t="n"/>
      <c r="M474" s="49" t="n"/>
      <c r="N474" s="49" t="n"/>
      <c r="O474" s="49" t="n"/>
      <c r="P474" s="50" t="n"/>
      <c r="Q474" s="51" t="str">
        <f>IF(AND(ISNUMBER($F474),$F474&gt;0,ISNUMBER($G474)),$G474/$F474,"")</f>
        <v/>
      </c>
      <c r="R474" s="51" t="str">
        <f>IF(AND(ISNUMBER($F474),$F474&gt;0,ISNUMBER($H474)),$H474/$F474,"")</f>
        <v/>
      </c>
      <c r="S474" s="52" t="str">
        <f>IF(AND(ISNUMBER($J474),ISNUMBER($L474)),IF($L474&gt;0,$J474/$L474,""),"")</f>
        <v/>
      </c>
      <c r="T474" s="53" t="str">
        <f>IF(ISNUMBER($A474),YEAR($A474)&amp;"-"&amp;TEXT(MONTH($A474),"00"),"")</f>
        <v/>
      </c>
    </row>
    <row r="475">
      <c r="A475" s="47" t="n"/>
      <c r="B475" s="48" t="n"/>
      <c r="C475" s="48" t="n"/>
      <c r="D475" s="48" t="n"/>
      <c r="E475" s="48" t="n"/>
      <c r="F475" s="49" t="n"/>
      <c r="G475" s="49" t="n"/>
      <c r="H475" s="49" t="n"/>
      <c r="I475" s="49" t="n"/>
      <c r="J475" s="49" t="n"/>
      <c r="K475" s="49" t="n"/>
      <c r="L475" s="49" t="n"/>
      <c r="M475" s="49" t="n"/>
      <c r="N475" s="49" t="n"/>
      <c r="O475" s="49" t="n"/>
      <c r="P475" s="50" t="n"/>
      <c r="Q475" s="51" t="str">
        <f>IF(AND(ISNUMBER($F475),$F475&gt;0,ISNUMBER($G475)),$G475/$F475,"")</f>
        <v/>
      </c>
      <c r="R475" s="51" t="str">
        <f>IF(AND(ISNUMBER($F475),$F475&gt;0,ISNUMBER($H475)),$H475/$F475,"")</f>
        <v/>
      </c>
      <c r="S475" s="52" t="str">
        <f>IF(AND(ISNUMBER($J475),ISNUMBER($L475)),IF($L475&gt;0,$J475/$L475,""),"")</f>
        <v/>
      </c>
      <c r="T475" s="53" t="str">
        <f>IF(ISNUMBER($A475),YEAR($A475)&amp;"-"&amp;TEXT(MONTH($A475),"00"),"")</f>
        <v/>
      </c>
    </row>
    <row r="476">
      <c r="A476" s="47" t="n"/>
      <c r="B476" s="48" t="n"/>
      <c r="C476" s="48" t="n"/>
      <c r="D476" s="48" t="n"/>
      <c r="E476" s="48" t="n"/>
      <c r="F476" s="49" t="n"/>
      <c r="G476" s="49" t="n"/>
      <c r="H476" s="49" t="n"/>
      <c r="I476" s="49" t="n"/>
      <c r="J476" s="49" t="n"/>
      <c r="K476" s="49" t="n"/>
      <c r="L476" s="49" t="n"/>
      <c r="M476" s="49" t="n"/>
      <c r="N476" s="49" t="n"/>
      <c r="O476" s="49" t="n"/>
      <c r="P476" s="50" t="n"/>
      <c r="Q476" s="51" t="str">
        <f>IF(AND(ISNUMBER($F476),$F476&gt;0,ISNUMBER($G476)),$G476/$F476,"")</f>
        <v/>
      </c>
      <c r="R476" s="51" t="str">
        <f>IF(AND(ISNUMBER($F476),$F476&gt;0,ISNUMBER($H476)),$H476/$F476,"")</f>
        <v/>
      </c>
      <c r="S476" s="52" t="str">
        <f>IF(AND(ISNUMBER($J476),ISNUMBER($L476)),IF($L476&gt;0,$J476/$L476,""),"")</f>
        <v/>
      </c>
      <c r="T476" s="53" t="str">
        <f>IF(ISNUMBER($A476),YEAR($A476)&amp;"-"&amp;TEXT(MONTH($A476),"00"),"")</f>
        <v/>
      </c>
    </row>
    <row r="477">
      <c r="A477" s="47" t="n"/>
      <c r="B477" s="48" t="n"/>
      <c r="C477" s="48" t="n"/>
      <c r="D477" s="48" t="n"/>
      <c r="E477" s="48" t="n"/>
      <c r="F477" s="49" t="n"/>
      <c r="G477" s="49" t="n"/>
      <c r="H477" s="49" t="n"/>
      <c r="I477" s="49" t="n"/>
      <c r="J477" s="49" t="n"/>
      <c r="K477" s="49" t="n"/>
      <c r="L477" s="49" t="n"/>
      <c r="M477" s="49" t="n"/>
      <c r="N477" s="49" t="n"/>
      <c r="O477" s="49" t="n"/>
      <c r="P477" s="50" t="n"/>
      <c r="Q477" s="51" t="str">
        <f>IF(AND(ISNUMBER($F477),$F477&gt;0,ISNUMBER($G477)),$G477/$F477,"")</f>
        <v/>
      </c>
      <c r="R477" s="51" t="str">
        <f>IF(AND(ISNUMBER($F477),$F477&gt;0,ISNUMBER($H477)),$H477/$F477,"")</f>
        <v/>
      </c>
      <c r="S477" s="52" t="str">
        <f>IF(AND(ISNUMBER($J477),ISNUMBER($L477)),IF($L477&gt;0,$J477/$L477,""),"")</f>
        <v/>
      </c>
      <c r="T477" s="53" t="str">
        <f>IF(ISNUMBER($A477),YEAR($A477)&amp;"-"&amp;TEXT(MONTH($A477),"00"),"")</f>
        <v/>
      </c>
    </row>
    <row r="478">
      <c r="A478" s="47" t="n"/>
      <c r="B478" s="48" t="n"/>
      <c r="C478" s="48" t="n"/>
      <c r="D478" s="48" t="n"/>
      <c r="E478" s="48" t="n"/>
      <c r="F478" s="49" t="n"/>
      <c r="G478" s="49" t="n"/>
      <c r="H478" s="49" t="n"/>
      <c r="I478" s="49" t="n"/>
      <c r="J478" s="49" t="n"/>
      <c r="K478" s="49" t="n"/>
      <c r="L478" s="49" t="n"/>
      <c r="M478" s="49" t="n"/>
      <c r="N478" s="49" t="n"/>
      <c r="O478" s="49" t="n"/>
      <c r="P478" s="50" t="n"/>
      <c r="Q478" s="51" t="str">
        <f>IF(AND(ISNUMBER($F478),$F478&gt;0,ISNUMBER($G478)),$G478/$F478,"")</f>
        <v/>
      </c>
      <c r="R478" s="51" t="str">
        <f>IF(AND(ISNUMBER($F478),$F478&gt;0,ISNUMBER($H478)),$H478/$F478,"")</f>
        <v/>
      </c>
      <c r="S478" s="52" t="str">
        <f>IF(AND(ISNUMBER($J478),ISNUMBER($L478)),IF($L478&gt;0,$J478/$L478,""),"")</f>
        <v/>
      </c>
      <c r="T478" s="53" t="str">
        <f>IF(ISNUMBER($A478),YEAR($A478)&amp;"-"&amp;TEXT(MONTH($A478),"00"),"")</f>
        <v/>
      </c>
    </row>
    <row r="479">
      <c r="A479" s="47" t="n"/>
      <c r="B479" s="48" t="n"/>
      <c r="C479" s="48" t="n"/>
      <c r="D479" s="48" t="n"/>
      <c r="E479" s="48" t="n"/>
      <c r="F479" s="49" t="n"/>
      <c r="G479" s="49" t="n"/>
      <c r="H479" s="49" t="n"/>
      <c r="I479" s="49" t="n"/>
      <c r="J479" s="49" t="n"/>
      <c r="K479" s="49" t="n"/>
      <c r="L479" s="49" t="n"/>
      <c r="M479" s="49" t="n"/>
      <c r="N479" s="49" t="n"/>
      <c r="O479" s="49" t="n"/>
      <c r="P479" s="50" t="n"/>
      <c r="Q479" s="51" t="str">
        <f>IF(AND(ISNUMBER($F479),$F479&gt;0,ISNUMBER($G479)),$G479/$F479,"")</f>
        <v/>
      </c>
      <c r="R479" s="51" t="str">
        <f>IF(AND(ISNUMBER($F479),$F479&gt;0,ISNUMBER($H479)),$H479/$F479,"")</f>
        <v/>
      </c>
      <c r="S479" s="52" t="str">
        <f>IF(AND(ISNUMBER($J479),ISNUMBER($L479)),IF($L479&gt;0,$J479/$L479,""),"")</f>
        <v/>
      </c>
      <c r="T479" s="53" t="str">
        <f>IF(ISNUMBER($A479),YEAR($A479)&amp;"-"&amp;TEXT(MONTH($A479),"00"),"")</f>
        <v/>
      </c>
    </row>
    <row r="480">
      <c r="A480" s="47" t="n"/>
      <c r="B480" s="48" t="n"/>
      <c r="C480" s="48" t="n"/>
      <c r="D480" s="48" t="n"/>
      <c r="E480" s="48" t="n"/>
      <c r="F480" s="49" t="n"/>
      <c r="G480" s="49" t="n"/>
      <c r="H480" s="49" t="n"/>
      <c r="I480" s="49" t="n"/>
      <c r="J480" s="49" t="n"/>
      <c r="K480" s="49" t="n"/>
      <c r="L480" s="49" t="n"/>
      <c r="M480" s="49" t="n"/>
      <c r="N480" s="49" t="n"/>
      <c r="O480" s="49" t="n"/>
      <c r="P480" s="50" t="n"/>
      <c r="Q480" s="51" t="str">
        <f>IF(AND(ISNUMBER($F480),$F480&gt;0,ISNUMBER($G480)),$G480/$F480,"")</f>
        <v/>
      </c>
      <c r="R480" s="51" t="str">
        <f>IF(AND(ISNUMBER($F480),$F480&gt;0,ISNUMBER($H480)),$H480/$F480,"")</f>
        <v/>
      </c>
      <c r="S480" s="52" t="str">
        <f>IF(AND(ISNUMBER($J480),ISNUMBER($L480)),IF($L480&gt;0,$J480/$L480,""),"")</f>
        <v/>
      </c>
      <c r="T480" s="53" t="str">
        <f>IF(ISNUMBER($A480),YEAR($A480)&amp;"-"&amp;TEXT(MONTH($A480),"00"),"")</f>
        <v/>
      </c>
    </row>
    <row r="481">
      <c r="A481" s="47" t="n"/>
      <c r="B481" s="48" t="n"/>
      <c r="C481" s="48" t="n"/>
      <c r="D481" s="48" t="n"/>
      <c r="E481" s="48" t="n"/>
      <c r="F481" s="49" t="n"/>
      <c r="G481" s="49" t="n"/>
      <c r="H481" s="49" t="n"/>
      <c r="I481" s="49" t="n"/>
      <c r="J481" s="49" t="n"/>
      <c r="K481" s="49" t="n"/>
      <c r="L481" s="49" t="n"/>
      <c r="M481" s="49" t="n"/>
      <c r="N481" s="49" t="n"/>
      <c r="O481" s="49" t="n"/>
      <c r="P481" s="50" t="n"/>
      <c r="Q481" s="51" t="str">
        <f>IF(AND(ISNUMBER($F481),$F481&gt;0,ISNUMBER($G481)),$G481/$F481,"")</f>
        <v/>
      </c>
      <c r="R481" s="51" t="str">
        <f>IF(AND(ISNUMBER($F481),$F481&gt;0,ISNUMBER($H481)),$H481/$F481,"")</f>
        <v/>
      </c>
      <c r="S481" s="52" t="str">
        <f>IF(AND(ISNUMBER($J481),ISNUMBER($L481)),IF($L481&gt;0,$J481/$L481,""),"")</f>
        <v/>
      </c>
      <c r="T481" s="53" t="str">
        <f>IF(ISNUMBER($A481),YEAR($A481)&amp;"-"&amp;TEXT(MONTH($A481),"00"),"")</f>
        <v/>
      </c>
    </row>
    <row r="482">
      <c r="A482" s="47" t="n"/>
      <c r="B482" s="48" t="n"/>
      <c r="C482" s="48" t="n"/>
      <c r="D482" s="48" t="n"/>
      <c r="E482" s="48" t="n"/>
      <c r="F482" s="49" t="n"/>
      <c r="G482" s="49" t="n"/>
      <c r="H482" s="49" t="n"/>
      <c r="I482" s="49" t="n"/>
      <c r="J482" s="49" t="n"/>
      <c r="K482" s="49" t="n"/>
      <c r="L482" s="49" t="n"/>
      <c r="M482" s="49" t="n"/>
      <c r="N482" s="49" t="n"/>
      <c r="O482" s="49" t="n"/>
      <c r="P482" s="50" t="n"/>
      <c r="Q482" s="51" t="str">
        <f>IF(AND(ISNUMBER($F482),$F482&gt;0,ISNUMBER($G482)),$G482/$F482,"")</f>
        <v/>
      </c>
      <c r="R482" s="51" t="str">
        <f>IF(AND(ISNUMBER($F482),$F482&gt;0,ISNUMBER($H482)),$H482/$F482,"")</f>
        <v/>
      </c>
      <c r="S482" s="52" t="str">
        <f>IF(AND(ISNUMBER($J482),ISNUMBER($L482)),IF($L482&gt;0,$J482/$L482,""),"")</f>
        <v/>
      </c>
      <c r="T482" s="53" t="str">
        <f>IF(ISNUMBER($A482),YEAR($A482)&amp;"-"&amp;TEXT(MONTH($A482),"00"),"")</f>
        <v/>
      </c>
    </row>
    <row r="483">
      <c r="A483" s="47" t="n"/>
      <c r="B483" s="48" t="n"/>
      <c r="C483" s="48" t="n"/>
      <c r="D483" s="48" t="n"/>
      <c r="E483" s="48" t="n"/>
      <c r="F483" s="49" t="n"/>
      <c r="G483" s="49" t="n"/>
      <c r="H483" s="49" t="n"/>
      <c r="I483" s="49" t="n"/>
      <c r="J483" s="49" t="n"/>
      <c r="K483" s="49" t="n"/>
      <c r="L483" s="49" t="n"/>
      <c r="M483" s="49" t="n"/>
      <c r="N483" s="49" t="n"/>
      <c r="O483" s="49" t="n"/>
      <c r="P483" s="50" t="n"/>
      <c r="Q483" s="51" t="str">
        <f>IF(AND(ISNUMBER($F483),$F483&gt;0,ISNUMBER($G483)),$G483/$F483,"")</f>
        <v/>
      </c>
      <c r="R483" s="51" t="str">
        <f>IF(AND(ISNUMBER($F483),$F483&gt;0,ISNUMBER($H483)),$H483/$F483,"")</f>
        <v/>
      </c>
      <c r="S483" s="52" t="str">
        <f>IF(AND(ISNUMBER($J483),ISNUMBER($L483)),IF($L483&gt;0,$J483/$L483,""),"")</f>
        <v/>
      </c>
      <c r="T483" s="53" t="str">
        <f>IF(ISNUMBER($A483),YEAR($A483)&amp;"-"&amp;TEXT(MONTH($A483),"00"),"")</f>
        <v/>
      </c>
    </row>
    <row r="484">
      <c r="A484" s="47" t="n"/>
      <c r="B484" s="48" t="n"/>
      <c r="C484" s="48" t="n"/>
      <c r="D484" s="48" t="n"/>
      <c r="E484" s="48" t="n"/>
      <c r="F484" s="49" t="n"/>
      <c r="G484" s="49" t="n"/>
      <c r="H484" s="49" t="n"/>
      <c r="I484" s="49" t="n"/>
      <c r="J484" s="49" t="n"/>
      <c r="K484" s="49" t="n"/>
      <c r="L484" s="49" t="n"/>
      <c r="M484" s="49" t="n"/>
      <c r="N484" s="49" t="n"/>
      <c r="O484" s="49" t="n"/>
      <c r="P484" s="50" t="n"/>
      <c r="Q484" s="51" t="str">
        <f>IF(AND(ISNUMBER($F484),$F484&gt;0,ISNUMBER($G484)),$G484/$F484,"")</f>
        <v/>
      </c>
      <c r="R484" s="51" t="str">
        <f>IF(AND(ISNUMBER($F484),$F484&gt;0,ISNUMBER($H484)),$H484/$F484,"")</f>
        <v/>
      </c>
      <c r="S484" s="52" t="str">
        <f>IF(AND(ISNUMBER($J484),ISNUMBER($L484)),IF($L484&gt;0,$J484/$L484,""),"")</f>
        <v/>
      </c>
      <c r="T484" s="53" t="str">
        <f>IF(ISNUMBER($A484),YEAR($A484)&amp;"-"&amp;TEXT(MONTH($A484),"00"),"")</f>
        <v/>
      </c>
    </row>
    <row r="485">
      <c r="A485" s="47" t="n"/>
      <c r="B485" s="48" t="n"/>
      <c r="C485" s="48" t="n"/>
      <c r="D485" s="48" t="n"/>
      <c r="E485" s="48" t="n"/>
      <c r="F485" s="49" t="n"/>
      <c r="G485" s="49" t="n"/>
      <c r="H485" s="49" t="n"/>
      <c r="I485" s="49" t="n"/>
      <c r="J485" s="49" t="n"/>
      <c r="K485" s="49" t="n"/>
      <c r="L485" s="49" t="n"/>
      <c r="M485" s="49" t="n"/>
      <c r="N485" s="49" t="n"/>
      <c r="O485" s="49" t="n"/>
      <c r="P485" s="50" t="n"/>
      <c r="Q485" s="51" t="str">
        <f>IF(AND(ISNUMBER($F485),$F485&gt;0,ISNUMBER($G485)),$G485/$F485,"")</f>
        <v/>
      </c>
      <c r="R485" s="51" t="str">
        <f>IF(AND(ISNUMBER($F485),$F485&gt;0,ISNUMBER($H485)),$H485/$F485,"")</f>
        <v/>
      </c>
      <c r="S485" s="52" t="str">
        <f>IF(AND(ISNUMBER($J485),ISNUMBER($L485)),IF($L485&gt;0,$J485/$L485,""),"")</f>
        <v/>
      </c>
      <c r="T485" s="53" t="str">
        <f>IF(ISNUMBER($A485),YEAR($A485)&amp;"-"&amp;TEXT(MONTH($A485),"00"),"")</f>
        <v/>
      </c>
    </row>
    <row r="486">
      <c r="A486" s="47" t="n"/>
      <c r="B486" s="48" t="n"/>
      <c r="C486" s="48" t="n"/>
      <c r="D486" s="48" t="n"/>
      <c r="E486" s="48" t="n"/>
      <c r="F486" s="49" t="n"/>
      <c r="G486" s="49" t="n"/>
      <c r="H486" s="49" t="n"/>
      <c r="I486" s="49" t="n"/>
      <c r="J486" s="49" t="n"/>
      <c r="K486" s="49" t="n"/>
      <c r="L486" s="49" t="n"/>
      <c r="M486" s="49" t="n"/>
      <c r="N486" s="49" t="n"/>
      <c r="O486" s="49" t="n"/>
      <c r="P486" s="50" t="n"/>
      <c r="Q486" s="51" t="str">
        <f>IF(AND(ISNUMBER($F486),$F486&gt;0,ISNUMBER($G486)),$G486/$F486,"")</f>
        <v/>
      </c>
      <c r="R486" s="51" t="str">
        <f>IF(AND(ISNUMBER($F486),$F486&gt;0,ISNUMBER($H486)),$H486/$F486,"")</f>
        <v/>
      </c>
      <c r="S486" s="52" t="str">
        <f>IF(AND(ISNUMBER($J486),ISNUMBER($L486)),IF($L486&gt;0,$J486/$L486,""),"")</f>
        <v/>
      </c>
      <c r="T486" s="53" t="str">
        <f>IF(ISNUMBER($A486),YEAR($A486)&amp;"-"&amp;TEXT(MONTH($A486),"00"),"")</f>
        <v/>
      </c>
    </row>
    <row r="487">
      <c r="A487" s="47" t="n"/>
      <c r="B487" s="48" t="n"/>
      <c r="C487" s="48" t="n"/>
      <c r="D487" s="48" t="n"/>
      <c r="E487" s="48" t="n"/>
      <c r="F487" s="49" t="n"/>
      <c r="G487" s="49" t="n"/>
      <c r="H487" s="49" t="n"/>
      <c r="I487" s="49" t="n"/>
      <c r="J487" s="49" t="n"/>
      <c r="K487" s="49" t="n"/>
      <c r="L487" s="49" t="n"/>
      <c r="M487" s="49" t="n"/>
      <c r="N487" s="49" t="n"/>
      <c r="O487" s="49" t="n"/>
      <c r="P487" s="50" t="n"/>
      <c r="Q487" s="51" t="str">
        <f>IF(AND(ISNUMBER($F487),$F487&gt;0,ISNUMBER($G487)),$G487/$F487,"")</f>
        <v/>
      </c>
      <c r="R487" s="51" t="str">
        <f>IF(AND(ISNUMBER($F487),$F487&gt;0,ISNUMBER($H487)),$H487/$F487,"")</f>
        <v/>
      </c>
      <c r="S487" s="52" t="str">
        <f>IF(AND(ISNUMBER($J487),ISNUMBER($L487)),IF($L487&gt;0,$J487/$L487,""),"")</f>
        <v/>
      </c>
      <c r="T487" s="53" t="str">
        <f>IF(ISNUMBER($A487),YEAR($A487)&amp;"-"&amp;TEXT(MONTH($A487),"00"),"")</f>
        <v/>
      </c>
    </row>
    <row r="488">
      <c r="A488" s="47" t="n"/>
      <c r="B488" s="48" t="n"/>
      <c r="C488" s="48" t="n"/>
      <c r="D488" s="48" t="n"/>
      <c r="E488" s="48" t="n"/>
      <c r="F488" s="49" t="n"/>
      <c r="G488" s="49" t="n"/>
      <c r="H488" s="49" t="n"/>
      <c r="I488" s="49" t="n"/>
      <c r="J488" s="49" t="n"/>
      <c r="K488" s="49" t="n"/>
      <c r="L488" s="49" t="n"/>
      <c r="M488" s="49" t="n"/>
      <c r="N488" s="49" t="n"/>
      <c r="O488" s="49" t="n"/>
      <c r="P488" s="50" t="n"/>
      <c r="Q488" s="51" t="str">
        <f>IF(AND(ISNUMBER($F488),$F488&gt;0,ISNUMBER($G488)),$G488/$F488,"")</f>
        <v/>
      </c>
      <c r="R488" s="51" t="str">
        <f>IF(AND(ISNUMBER($F488),$F488&gt;0,ISNUMBER($H488)),$H488/$F488,"")</f>
        <v/>
      </c>
      <c r="S488" s="52" t="str">
        <f>IF(AND(ISNUMBER($J488),ISNUMBER($L488)),IF($L488&gt;0,$J488/$L488,""),"")</f>
        <v/>
      </c>
      <c r="T488" s="53" t="str">
        <f>IF(ISNUMBER($A488),YEAR($A488)&amp;"-"&amp;TEXT(MONTH($A488),"00"),"")</f>
        <v/>
      </c>
    </row>
    <row r="489">
      <c r="A489" s="47" t="n"/>
      <c r="B489" s="48" t="n"/>
      <c r="C489" s="48" t="n"/>
      <c r="D489" s="48" t="n"/>
      <c r="E489" s="48" t="n"/>
      <c r="F489" s="49" t="n"/>
      <c r="G489" s="49" t="n"/>
      <c r="H489" s="49" t="n"/>
      <c r="I489" s="49" t="n"/>
      <c r="J489" s="49" t="n"/>
      <c r="K489" s="49" t="n"/>
      <c r="L489" s="49" t="n"/>
      <c r="M489" s="49" t="n"/>
      <c r="N489" s="49" t="n"/>
      <c r="O489" s="49" t="n"/>
      <c r="P489" s="50" t="n"/>
      <c r="Q489" s="51" t="str">
        <f>IF(AND(ISNUMBER($F489),$F489&gt;0,ISNUMBER($G489)),$G489/$F489,"")</f>
        <v/>
      </c>
      <c r="R489" s="51" t="str">
        <f>IF(AND(ISNUMBER($F489),$F489&gt;0,ISNUMBER($H489)),$H489/$F489,"")</f>
        <v/>
      </c>
      <c r="S489" s="52" t="str">
        <f>IF(AND(ISNUMBER($J489),ISNUMBER($L489)),IF($L489&gt;0,$J489/$L489,""),"")</f>
        <v/>
      </c>
      <c r="T489" s="53" t="str">
        <f>IF(ISNUMBER($A489),YEAR($A489)&amp;"-"&amp;TEXT(MONTH($A489),"00"),"")</f>
        <v/>
      </c>
    </row>
    <row r="490">
      <c r="A490" s="47" t="n"/>
      <c r="B490" s="48" t="n"/>
      <c r="C490" s="48" t="n"/>
      <c r="D490" s="48" t="n"/>
      <c r="E490" s="48" t="n"/>
      <c r="F490" s="49" t="n"/>
      <c r="G490" s="49" t="n"/>
      <c r="H490" s="49" t="n"/>
      <c r="I490" s="49" t="n"/>
      <c r="J490" s="49" t="n"/>
      <c r="K490" s="49" t="n"/>
      <c r="L490" s="49" t="n"/>
      <c r="M490" s="49" t="n"/>
      <c r="N490" s="49" t="n"/>
      <c r="O490" s="49" t="n"/>
      <c r="P490" s="50" t="n"/>
      <c r="Q490" s="51" t="str">
        <f>IF(AND(ISNUMBER($F490),$F490&gt;0,ISNUMBER($G490)),$G490/$F490,"")</f>
        <v/>
      </c>
      <c r="R490" s="51" t="str">
        <f>IF(AND(ISNUMBER($F490),$F490&gt;0,ISNUMBER($H490)),$H490/$F490,"")</f>
        <v/>
      </c>
      <c r="S490" s="52" t="str">
        <f>IF(AND(ISNUMBER($J490),ISNUMBER($L490)),IF($L490&gt;0,$J490/$L490,""),"")</f>
        <v/>
      </c>
      <c r="T490" s="53" t="str">
        <f>IF(ISNUMBER($A490),YEAR($A490)&amp;"-"&amp;TEXT(MONTH($A490),"00"),"")</f>
        <v/>
      </c>
    </row>
    <row r="491">
      <c r="A491" s="47" t="n"/>
      <c r="B491" s="48" t="n"/>
      <c r="C491" s="48" t="n"/>
      <c r="D491" s="48" t="n"/>
      <c r="E491" s="48" t="n"/>
      <c r="F491" s="49" t="n"/>
      <c r="G491" s="49" t="n"/>
      <c r="H491" s="49" t="n"/>
      <c r="I491" s="49" t="n"/>
      <c r="J491" s="49" t="n"/>
      <c r="K491" s="49" t="n"/>
      <c r="L491" s="49" t="n"/>
      <c r="M491" s="49" t="n"/>
      <c r="N491" s="49" t="n"/>
      <c r="O491" s="49" t="n"/>
      <c r="P491" s="50" t="n"/>
      <c r="Q491" s="51" t="str">
        <f>IF(AND(ISNUMBER($F491),$F491&gt;0,ISNUMBER($G491)),$G491/$F491,"")</f>
        <v/>
      </c>
      <c r="R491" s="51" t="str">
        <f>IF(AND(ISNUMBER($F491),$F491&gt;0,ISNUMBER($H491)),$H491/$F491,"")</f>
        <v/>
      </c>
      <c r="S491" s="52" t="str">
        <f>IF(AND(ISNUMBER($J491),ISNUMBER($L491)),IF($L491&gt;0,$J491/$L491,""),"")</f>
        <v/>
      </c>
      <c r="T491" s="53" t="str">
        <f>IF(ISNUMBER($A491),YEAR($A491)&amp;"-"&amp;TEXT(MONTH($A491),"00"),"")</f>
        <v/>
      </c>
    </row>
    <row r="492">
      <c r="A492" s="47" t="n"/>
      <c r="B492" s="48" t="n"/>
      <c r="C492" s="48" t="n"/>
      <c r="D492" s="48" t="n"/>
      <c r="E492" s="48" t="n"/>
      <c r="F492" s="49" t="n"/>
      <c r="G492" s="49" t="n"/>
      <c r="H492" s="49" t="n"/>
      <c r="I492" s="49" t="n"/>
      <c r="J492" s="49" t="n"/>
      <c r="K492" s="49" t="n"/>
      <c r="L492" s="49" t="n"/>
      <c r="M492" s="49" t="n"/>
      <c r="N492" s="49" t="n"/>
      <c r="O492" s="49" t="n"/>
      <c r="P492" s="50" t="n"/>
      <c r="Q492" s="51" t="str">
        <f>IF(AND(ISNUMBER($F492),$F492&gt;0,ISNUMBER($G492)),$G492/$F492,"")</f>
        <v/>
      </c>
      <c r="R492" s="51" t="str">
        <f>IF(AND(ISNUMBER($F492),$F492&gt;0,ISNUMBER($H492)),$H492/$F492,"")</f>
        <v/>
      </c>
      <c r="S492" s="52" t="str">
        <f>IF(AND(ISNUMBER($J492),ISNUMBER($L492)),IF($L492&gt;0,$J492/$L492,""),"")</f>
        <v/>
      </c>
      <c r="T492" s="53" t="str">
        <f>IF(ISNUMBER($A492),YEAR($A492)&amp;"-"&amp;TEXT(MONTH($A492),"00"),"")</f>
        <v/>
      </c>
    </row>
    <row r="493">
      <c r="A493" s="47" t="n"/>
      <c r="B493" s="48" t="n"/>
      <c r="C493" s="48" t="n"/>
      <c r="D493" s="48" t="n"/>
      <c r="E493" s="48" t="n"/>
      <c r="F493" s="49" t="n"/>
      <c r="G493" s="49" t="n"/>
      <c r="H493" s="49" t="n"/>
      <c r="I493" s="49" t="n"/>
      <c r="J493" s="49" t="n"/>
      <c r="K493" s="49" t="n"/>
      <c r="L493" s="49" t="n"/>
      <c r="M493" s="49" t="n"/>
      <c r="N493" s="49" t="n"/>
      <c r="O493" s="49" t="n"/>
      <c r="P493" s="50" t="n"/>
      <c r="Q493" s="51" t="str">
        <f>IF(AND(ISNUMBER($F493),$F493&gt;0,ISNUMBER($G493)),$G493/$F493,"")</f>
        <v/>
      </c>
      <c r="R493" s="51" t="str">
        <f>IF(AND(ISNUMBER($F493),$F493&gt;0,ISNUMBER($H493)),$H493/$F493,"")</f>
        <v/>
      </c>
      <c r="S493" s="52" t="str">
        <f>IF(AND(ISNUMBER($J493),ISNUMBER($L493)),IF($L493&gt;0,$J493/$L493,""),"")</f>
        <v/>
      </c>
      <c r="T493" s="53" t="str">
        <f>IF(ISNUMBER($A493),YEAR($A493)&amp;"-"&amp;TEXT(MONTH($A493),"00"),"")</f>
        <v/>
      </c>
    </row>
    <row r="494">
      <c r="A494" s="47" t="n"/>
      <c r="B494" s="48" t="n"/>
      <c r="C494" s="48" t="n"/>
      <c r="D494" s="48" t="n"/>
      <c r="E494" s="48" t="n"/>
      <c r="F494" s="49" t="n"/>
      <c r="G494" s="49" t="n"/>
      <c r="H494" s="49" t="n"/>
      <c r="I494" s="49" t="n"/>
      <c r="J494" s="49" t="n"/>
      <c r="K494" s="49" t="n"/>
      <c r="L494" s="49" t="n"/>
      <c r="M494" s="49" t="n"/>
      <c r="N494" s="49" t="n"/>
      <c r="O494" s="49" t="n"/>
      <c r="P494" s="50" t="n"/>
      <c r="Q494" s="51" t="str">
        <f>IF(AND(ISNUMBER($F494),$F494&gt;0,ISNUMBER($G494)),$G494/$F494,"")</f>
        <v/>
      </c>
      <c r="R494" s="51" t="str">
        <f>IF(AND(ISNUMBER($F494),$F494&gt;0,ISNUMBER($H494)),$H494/$F494,"")</f>
        <v/>
      </c>
      <c r="S494" s="52" t="str">
        <f>IF(AND(ISNUMBER($J494),ISNUMBER($L494)),IF($L494&gt;0,$J494/$L494,""),"")</f>
        <v/>
      </c>
      <c r="T494" s="53" t="str">
        <f>IF(ISNUMBER($A494),YEAR($A494)&amp;"-"&amp;TEXT(MONTH($A494),"00"),"")</f>
        <v/>
      </c>
    </row>
    <row r="495">
      <c r="A495" s="47" t="n"/>
      <c r="B495" s="48" t="n"/>
      <c r="C495" s="48" t="n"/>
      <c r="D495" s="48" t="n"/>
      <c r="E495" s="48" t="n"/>
      <c r="F495" s="49" t="n"/>
      <c r="G495" s="49" t="n"/>
      <c r="H495" s="49" t="n"/>
      <c r="I495" s="49" t="n"/>
      <c r="J495" s="49" t="n"/>
      <c r="K495" s="49" t="n"/>
      <c r="L495" s="49" t="n"/>
      <c r="M495" s="49" t="n"/>
      <c r="N495" s="49" t="n"/>
      <c r="O495" s="49" t="n"/>
      <c r="P495" s="50" t="n"/>
      <c r="Q495" s="51" t="str">
        <f>IF(AND(ISNUMBER($F495),$F495&gt;0,ISNUMBER($G495)),$G495/$F495,"")</f>
        <v/>
      </c>
      <c r="R495" s="51" t="str">
        <f>IF(AND(ISNUMBER($F495),$F495&gt;0,ISNUMBER($H495)),$H495/$F495,"")</f>
        <v/>
      </c>
      <c r="S495" s="52" t="str">
        <f>IF(AND(ISNUMBER($J495),ISNUMBER($L495)),IF($L495&gt;0,$J495/$L495,""),"")</f>
        <v/>
      </c>
      <c r="T495" s="53" t="str">
        <f>IF(ISNUMBER($A495),YEAR($A495)&amp;"-"&amp;TEXT(MONTH($A495),"00"),"")</f>
        <v/>
      </c>
    </row>
    <row r="496">
      <c r="A496" s="47" t="n"/>
      <c r="B496" s="48" t="n"/>
      <c r="C496" s="48" t="n"/>
      <c r="D496" s="48" t="n"/>
      <c r="E496" s="48" t="n"/>
      <c r="F496" s="49" t="n"/>
      <c r="G496" s="49" t="n"/>
      <c r="H496" s="49" t="n"/>
      <c r="I496" s="49" t="n"/>
      <c r="J496" s="49" t="n"/>
      <c r="K496" s="49" t="n"/>
      <c r="L496" s="49" t="n"/>
      <c r="M496" s="49" t="n"/>
      <c r="N496" s="49" t="n"/>
      <c r="O496" s="49" t="n"/>
      <c r="P496" s="50" t="n"/>
      <c r="Q496" s="51" t="str">
        <f>IF(AND(ISNUMBER($F496),$F496&gt;0,ISNUMBER($G496)),$G496/$F496,"")</f>
        <v/>
      </c>
      <c r="R496" s="51" t="str">
        <f>IF(AND(ISNUMBER($F496),$F496&gt;0,ISNUMBER($H496)),$H496/$F496,"")</f>
        <v/>
      </c>
      <c r="S496" s="52" t="str">
        <f>IF(AND(ISNUMBER($J496),ISNUMBER($L496)),IF($L496&gt;0,$J496/$L496,""),"")</f>
        <v/>
      </c>
      <c r="T496" s="53" t="str">
        <f>IF(ISNUMBER($A496),YEAR($A496)&amp;"-"&amp;TEXT(MONTH($A496),"00"),"")</f>
        <v/>
      </c>
    </row>
    <row r="497">
      <c r="A497" s="47" t="n"/>
      <c r="B497" s="48" t="n"/>
      <c r="C497" s="48" t="n"/>
      <c r="D497" s="48" t="n"/>
      <c r="E497" s="48" t="n"/>
      <c r="F497" s="49" t="n"/>
      <c r="G497" s="49" t="n"/>
      <c r="H497" s="49" t="n"/>
      <c r="I497" s="49" t="n"/>
      <c r="J497" s="49" t="n"/>
      <c r="K497" s="49" t="n"/>
      <c r="L497" s="49" t="n"/>
      <c r="M497" s="49" t="n"/>
      <c r="N497" s="49" t="n"/>
      <c r="O497" s="49" t="n"/>
      <c r="P497" s="50" t="n"/>
      <c r="Q497" s="51" t="str">
        <f>IF(AND(ISNUMBER($F497),$F497&gt;0,ISNUMBER($G497)),$G497/$F497,"")</f>
        <v/>
      </c>
      <c r="R497" s="51" t="str">
        <f>IF(AND(ISNUMBER($F497),$F497&gt;0,ISNUMBER($H497)),$H497/$F497,"")</f>
        <v/>
      </c>
      <c r="S497" s="52" t="str">
        <f>IF(AND(ISNUMBER($J497),ISNUMBER($L497)),IF($L497&gt;0,$J497/$L497,""),"")</f>
        <v/>
      </c>
      <c r="T497" s="53" t="str">
        <f>IF(ISNUMBER($A497),YEAR($A497)&amp;"-"&amp;TEXT(MONTH($A497),"00"),"")</f>
        <v/>
      </c>
    </row>
    <row r="498">
      <c r="A498" s="47" t="n"/>
      <c r="B498" s="48" t="n"/>
      <c r="C498" s="48" t="n"/>
      <c r="D498" s="48" t="n"/>
      <c r="E498" s="48" t="n"/>
      <c r="F498" s="49" t="n"/>
      <c r="G498" s="49" t="n"/>
      <c r="H498" s="49" t="n"/>
      <c r="I498" s="49" t="n"/>
      <c r="J498" s="49" t="n"/>
      <c r="K498" s="49" t="n"/>
      <c r="L498" s="49" t="n"/>
      <c r="M498" s="49" t="n"/>
      <c r="N498" s="49" t="n"/>
      <c r="O498" s="49" t="n"/>
      <c r="P498" s="50" t="n"/>
      <c r="Q498" s="51" t="str">
        <f>IF(AND(ISNUMBER($F498),$F498&gt;0,ISNUMBER($G498)),$G498/$F498,"")</f>
        <v/>
      </c>
      <c r="R498" s="51" t="str">
        <f>IF(AND(ISNUMBER($F498),$F498&gt;0,ISNUMBER($H498)),$H498/$F498,"")</f>
        <v/>
      </c>
      <c r="S498" s="52" t="str">
        <f>IF(AND(ISNUMBER($J498),ISNUMBER($L498)),IF($L498&gt;0,$J498/$L498,""),"")</f>
        <v/>
      </c>
      <c r="T498" s="53" t="str">
        <f>IF(ISNUMBER($A498),YEAR($A498)&amp;"-"&amp;TEXT(MONTH($A498),"00"),"")</f>
        <v/>
      </c>
    </row>
    <row r="499">
      <c r="A499" s="47" t="n"/>
      <c r="B499" s="48" t="n"/>
      <c r="C499" s="48" t="n"/>
      <c r="D499" s="48" t="n"/>
      <c r="E499" s="48" t="n"/>
      <c r="F499" s="49" t="n"/>
      <c r="G499" s="49" t="n"/>
      <c r="H499" s="49" t="n"/>
      <c r="I499" s="49" t="n"/>
      <c r="J499" s="49" t="n"/>
      <c r="K499" s="49" t="n"/>
      <c r="L499" s="49" t="n"/>
      <c r="M499" s="49" t="n"/>
      <c r="N499" s="49" t="n"/>
      <c r="O499" s="49" t="n"/>
      <c r="P499" s="50" t="n"/>
      <c r="Q499" s="51" t="str">
        <f>IF(AND(ISNUMBER($F499),$F499&gt;0,ISNUMBER($G499)),$G499/$F499,"")</f>
        <v/>
      </c>
      <c r="R499" s="51" t="str">
        <f>IF(AND(ISNUMBER($F499),$F499&gt;0,ISNUMBER($H499)),$H499/$F499,"")</f>
        <v/>
      </c>
      <c r="S499" s="52" t="str">
        <f>IF(AND(ISNUMBER($J499),ISNUMBER($L499)),IF($L499&gt;0,$J499/$L499,""),"")</f>
        <v/>
      </c>
      <c r="T499" s="53" t="str">
        <f>IF(ISNUMBER($A499),YEAR($A499)&amp;"-"&amp;TEXT(MONTH($A499),"00"),"")</f>
        <v/>
      </c>
    </row>
    <row r="500">
      <c r="A500" s="47" t="n"/>
      <c r="B500" s="48" t="n"/>
      <c r="C500" s="48" t="n"/>
      <c r="D500" s="48" t="n"/>
      <c r="E500" s="48" t="n"/>
      <c r="F500" s="49" t="n"/>
      <c r="G500" s="49" t="n"/>
      <c r="H500" s="49" t="n"/>
      <c r="I500" s="49" t="n"/>
      <c r="J500" s="49" t="n"/>
      <c r="K500" s="49" t="n"/>
      <c r="L500" s="49" t="n"/>
      <c r="M500" s="49" t="n"/>
      <c r="N500" s="49" t="n"/>
      <c r="O500" s="49" t="n"/>
      <c r="P500" s="50" t="n"/>
      <c r="Q500" s="51" t="str">
        <f>IF(AND(ISNUMBER($F500),$F500&gt;0,ISNUMBER($G500)),$G500/$F500,"")</f>
        <v/>
      </c>
      <c r="R500" s="51" t="str">
        <f>IF(AND(ISNUMBER($F500),$F500&gt;0,ISNUMBER($H500)),$H500/$F500,"")</f>
        <v/>
      </c>
      <c r="S500" s="52" t="str">
        <f>IF(AND(ISNUMBER($J500),ISNUMBER($L500)),IF($L500&gt;0,$J500/$L500,""),"")</f>
        <v/>
      </c>
      <c r="T500" s="53" t="str">
        <f>IF(ISNUMBER($A500),YEAR($A500)&amp;"-"&amp;TEXT(MONTH($A500),"00"),"")</f>
        <v/>
      </c>
    </row>
    <row r="501">
      <c r="A501" s="47" t="n"/>
      <c r="B501" s="48" t="n"/>
      <c r="C501" s="48" t="n"/>
      <c r="D501" s="48" t="n"/>
      <c r="E501" s="48" t="n"/>
      <c r="F501" s="49" t="n"/>
      <c r="G501" s="49" t="n"/>
      <c r="H501" s="49" t="n"/>
      <c r="I501" s="49" t="n"/>
      <c r="J501" s="49" t="n"/>
      <c r="K501" s="49" t="n"/>
      <c r="L501" s="49" t="n"/>
      <c r="M501" s="49" t="n"/>
      <c r="N501" s="49" t="n"/>
      <c r="O501" s="49" t="n"/>
      <c r="P501" s="50" t="n"/>
      <c r="Q501" s="51" t="str">
        <f>IF(AND(ISNUMBER($F501),$F501&gt;0,ISNUMBER($G501)),$G501/$F501,"")</f>
        <v/>
      </c>
      <c r="R501" s="51" t="str">
        <f>IF(AND(ISNUMBER($F501),$F501&gt;0,ISNUMBER($H501)),$H501/$F501,"")</f>
        <v/>
      </c>
      <c r="S501" s="52" t="str">
        <f>IF(AND(ISNUMBER($J501),ISNUMBER($L501)),IF($L501&gt;0,$J501/$L501,""),"")</f>
        <v/>
      </c>
      <c r="T501" s="53" t="str">
        <f>IF(ISNUMBER($A501),YEAR($A501)&amp;"-"&amp;TEXT(MONTH($A501),"00"),"")</f>
        <v/>
      </c>
    </row>
    <row r="502">
      <c r="A502" s="47" t="n"/>
      <c r="B502" s="48" t="n"/>
      <c r="C502" s="48" t="n"/>
      <c r="D502" s="48" t="n"/>
      <c r="E502" s="48" t="n"/>
      <c r="F502" s="49" t="n"/>
      <c r="G502" s="49" t="n"/>
      <c r="H502" s="49" t="n"/>
      <c r="I502" s="49" t="n"/>
      <c r="J502" s="49" t="n"/>
      <c r="K502" s="49" t="n"/>
      <c r="L502" s="49" t="n"/>
      <c r="M502" s="49" t="n"/>
      <c r="N502" s="49" t="n"/>
      <c r="O502" s="49" t="n"/>
      <c r="P502" s="50" t="n"/>
      <c r="Q502" s="51" t="str">
        <f>IF(AND(ISNUMBER($F502),$F502&gt;0,ISNUMBER($G502)),$G502/$F502,"")</f>
        <v/>
      </c>
      <c r="R502" s="51" t="str">
        <f>IF(AND(ISNUMBER($F502),$F502&gt;0,ISNUMBER($H502)),$H502/$F502,"")</f>
        <v/>
      </c>
      <c r="S502" s="52" t="str">
        <f>IF(AND(ISNUMBER($J502),ISNUMBER($L502)),IF($L502&gt;0,$J502/$L502,""),"")</f>
        <v/>
      </c>
      <c r="T502" s="53" t="str">
        <f>IF(ISNUMBER($A502),YEAR($A502)&amp;"-"&amp;TEXT(MONTH($A502),"00"),"")</f>
        <v/>
      </c>
    </row>
    <row r="503">
      <c r="A503" s="47" t="n"/>
      <c r="B503" s="48" t="n"/>
      <c r="C503" s="48" t="n"/>
      <c r="D503" s="48" t="n"/>
      <c r="E503" s="48" t="n"/>
      <c r="F503" s="49" t="n"/>
      <c r="G503" s="49" t="n"/>
      <c r="H503" s="49" t="n"/>
      <c r="I503" s="49" t="n"/>
      <c r="J503" s="49" t="n"/>
      <c r="K503" s="49" t="n"/>
      <c r="L503" s="49" t="n"/>
      <c r="M503" s="49" t="n"/>
      <c r="N503" s="49" t="n"/>
      <c r="O503" s="49" t="n"/>
      <c r="P503" s="50" t="n"/>
      <c r="Q503" s="51" t="str">
        <f>IF(AND(ISNUMBER($F503),$F503&gt;0,ISNUMBER($G503)),$G503/$F503,"")</f>
        <v/>
      </c>
      <c r="R503" s="51" t="str">
        <f>IF(AND(ISNUMBER($F503),$F503&gt;0,ISNUMBER($H503)),$H503/$F503,"")</f>
        <v/>
      </c>
      <c r="S503" s="52" t="str">
        <f>IF(AND(ISNUMBER($J503),ISNUMBER($L503)),IF($L503&gt;0,$J503/$L503,""),"")</f>
        <v/>
      </c>
      <c r="T503" s="53" t="str">
        <f>IF(ISNUMBER($A503),YEAR($A503)&amp;"-"&amp;TEXT(MONTH($A503),"00"),"")</f>
        <v/>
      </c>
    </row>
    <row r="504">
      <c r="A504" s="47" t="n"/>
      <c r="B504" s="48" t="n"/>
      <c r="C504" s="48" t="n"/>
      <c r="D504" s="48" t="n"/>
      <c r="E504" s="48" t="n"/>
      <c r="F504" s="49" t="n"/>
      <c r="G504" s="49" t="n"/>
      <c r="H504" s="49" t="n"/>
      <c r="I504" s="49" t="n"/>
      <c r="J504" s="49" t="n"/>
      <c r="K504" s="49" t="n"/>
      <c r="L504" s="49" t="n"/>
      <c r="M504" s="49" t="n"/>
      <c r="N504" s="49" t="n"/>
      <c r="O504" s="49" t="n"/>
      <c r="P504" s="50" t="n"/>
      <c r="Q504" s="51" t="str">
        <f>IF(AND(ISNUMBER($F504),$F504&gt;0,ISNUMBER($G504)),$G504/$F504,"")</f>
        <v/>
      </c>
      <c r="R504" s="51" t="str">
        <f>IF(AND(ISNUMBER($F504),$F504&gt;0,ISNUMBER($H504)),$H504/$F504,"")</f>
        <v/>
      </c>
      <c r="S504" s="52" t="str">
        <f>IF(AND(ISNUMBER($J504),ISNUMBER($L504)),IF($L504&gt;0,$J504/$L504,""),"")</f>
        <v/>
      </c>
      <c r="T504" s="53" t="str">
        <f>IF(ISNUMBER($A504),YEAR($A504)&amp;"-"&amp;TEXT(MONTH($A504),"00"),"")</f>
        <v/>
      </c>
    </row>
  </sheetData>
  <mergeCells count="1">
    <mergeCell ref="A1:N1"/>
  </mergeCells>
  <dataValidations count="15">
    <dataValidation sqref="A5:A504" showDropDown="0" showInputMessage="0" showErrorMessage="1" allowBlank="1" errorTitle="Invalid date" error="Enter a valid date, e.g. 05-Oct-2026." type="date" operator="greaterThan">
      <formula1>36526</formula1>
    </dataValidation>
    <dataValidation sqref="B5:B504" showDropDown="0" showInputMessage="0" showErrorMessage="1" allowBlank="1" errorTitle="Pick from list" error="Please choose a value from the dropdown (lists are maintained in MASTER DATA / CLIENT MASTER / CAMPAIGN MASTER)." type="list" errorStyle="stop">
      <formula1>=lst_Client</formula1>
    </dataValidation>
    <dataValidation sqref="C5:C504" showDropDown="0" showInputMessage="0" showErrorMessage="1" allowBlank="1" errorTitle="Pick from list" error="Please choose a value from the dropdown (lists are maintained in MASTER DATA / CLIENT MASTER / CAMPAIGN MASTER)." type="list" errorStyle="stop">
      <formula1>=lst_Campaign</formula1>
    </dataValidation>
    <dataValidation sqref="D5:D504" showDropDown="0" showInputMessage="0" showErrorMessage="1" allowBlank="1" errorTitle="Pick from list" error="Please choose a value from the dropdown (lists are maintained in MASTER DATA / CLIENT MASTER / CAMPAIGN MASTER)." type="list" errorStyle="stop">
      <formula1>=lst_Channel</formula1>
    </dataValidation>
    <dataValidation sqref="E5:E504" showDropDown="0" showInputMessage="0" showErrorMessage="1" allowBlank="1" errorTitle="Pick from list" error="Please choose a value from the dropdown (lists are maintained in MASTER DATA / CLIENT MASTER / CAMPAIGN MASTER)." type="list" errorStyle="stop">
      <formula1>=lst_Team</formula1>
    </dataValidation>
    <dataValidation sqref="F5:F504" showDropDown="0" showInputMessage="0" showErrorMessage="1" allowBlank="1" errorTitle="Invalid number" error="Enter a number (0 or more)." type="decimal" operator="greaterThanOrEqual">
      <formula1>0</formula1>
    </dataValidation>
    <dataValidation sqref="G5:G504" showDropDown="0" showInputMessage="0" showErrorMessage="1" allowBlank="1" errorTitle="Invalid number" error="Enter a number (0 or more)." type="decimal" operator="greaterThanOrEqual">
      <formula1>0</formula1>
    </dataValidation>
    <dataValidation sqref="H5:H504" showDropDown="0" showInputMessage="0" showErrorMessage="1" allowBlank="1" errorTitle="Invalid number" error="Enter a number (0 or more)." type="decimal" operator="greaterThanOrEqual">
      <formula1>0</formula1>
    </dataValidation>
    <dataValidation sqref="I5:I504" showDropDown="0" showInputMessage="0" showErrorMessage="1" allowBlank="1" errorTitle="Invalid number" error="Enter a number (0 or more)." type="decimal" operator="greaterThanOrEqual">
      <formula1>0</formula1>
    </dataValidation>
    <dataValidation sqref="J5:J504" showDropDown="0" showInputMessage="0" showErrorMessage="1" allowBlank="1" errorTitle="Invalid number" error="Enter a number (0 or more)." type="decimal" operator="greaterThanOrEqual">
      <formula1>0</formula1>
    </dataValidation>
    <dataValidation sqref="K5:K504" showDropDown="0" showInputMessage="0" showErrorMessage="1" allowBlank="1" errorTitle="Invalid number" error="Enter a number (0 or more)." type="decimal" operator="greaterThanOrEqual">
      <formula1>0</formula1>
    </dataValidation>
    <dataValidation sqref="L5:L504" showDropDown="0" showInputMessage="0" showErrorMessage="1" allowBlank="1" errorTitle="Invalid number" error="Enter a number (0 or more)." type="decimal" operator="greaterThanOrEqual">
      <formula1>0</formula1>
    </dataValidation>
    <dataValidation sqref="M5:M504" showDropDown="0" showInputMessage="0" showErrorMessage="1" allowBlank="1" errorTitle="Invalid number" error="Enter a number (0 or more)." type="decimal" operator="greaterThanOrEqual">
      <formula1>0</formula1>
    </dataValidation>
    <dataValidation sqref="N5:N504" showDropDown="0" showInputMessage="0" showErrorMessage="1" allowBlank="1" errorTitle="Invalid number" error="Enter a number (0 or more)." type="decimal" operator="greaterThanOrEqual">
      <formula1>0</formula1>
    </dataValidation>
    <dataValidation sqref="O5:O504" showDropDown="0" showInputMessage="0" showErrorMessage="1" allowBlank="1" errorTitle="Invalid number" error="Enter a number (0 or more)." type="decimal" operator="greaterThanOrEqual">
      <formula1>0</formula1>
    </dataValidation>
  </dataValidations>
  <pageMargins left="0.75" right="0.75" top="1" bottom="1" header="0.5" footer="0.5"/>
  <pageSetup orientation="landscape" fitToHeight="0" fitToWidth="1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tabColor rgb="002F5597"/>
    <outlinePr summaryBelow="1" summaryRight="1"/>
    <pageSetUpPr fitToPage="1"/>
  </sheetPr>
  <dimension ref="A1:O104"/>
  <sheetViews>
    <sheetView showGridLines="0" tabSelected="0" zoomScale="9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36" customWidth="1" min="2" max="2"/>
    <col width="18" customWidth="1" min="3" max="3"/>
    <col width="16" customWidth="1" min="4" max="4"/>
    <col width="12" customWidth="1" min="5" max="5"/>
    <col width="11" customWidth="1" min="6" max="6"/>
    <col width="11" customWidth="1" min="7" max="7"/>
    <col width="11" customWidth="1" min="8" max="8"/>
    <col width="40" customWidth="1" min="9" max="9"/>
    <col width="11" customWidth="1" min="10" max="10"/>
    <col width="11" customWidth="1" min="11" max="11"/>
    <col width="11" customWidth="1" min="12" max="12"/>
    <col width="10" customWidth="1" min="13" max="13"/>
    <col width="12" customWidth="1" min="14" max="14"/>
    <col width="14" customWidth="1" min="15" max="15"/>
  </cols>
  <sheetData>
    <row r="1" ht="30" customHeight="1">
      <c r="A1" s="42" t="inlineStr">
        <is>
          <t>CAMPAIGNS - one row per campaign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</row>
    <row r="2">
      <c r="A2" s="5" t="inlineStr">
        <is>
          <t>BLUE cells = team enters data   |   GREY cells = automatic formulas (do not edit)   |   Fill the blue columns. Leads, MQLs and spend fill in automatically from UPDATE STATS.</t>
        </is>
      </c>
    </row>
    <row r="4" ht="34" customHeight="1">
      <c r="A4" s="44" t="inlineStr">
        <is>
          <t>Client</t>
        </is>
      </c>
      <c r="B4" s="44" t="inlineStr">
        <is>
          <t>Campaign Name</t>
        </is>
      </c>
      <c r="C4" s="44" t="inlineStr">
        <is>
          <t>Channel</t>
        </is>
      </c>
      <c r="D4" s="44" t="inlineStr">
        <is>
          <t>Owner</t>
        </is>
      </c>
      <c r="E4" s="44" t="inlineStr">
        <is>
          <t>Status</t>
        </is>
      </c>
      <c r="F4" s="44" t="inlineStr">
        <is>
          <t>Start Date</t>
        </is>
      </c>
      <c r="G4" s="44" t="inlineStr">
        <is>
          <t>End Date</t>
        </is>
      </c>
      <c r="H4" s="44" t="inlineStr">
        <is>
          <t>Leads Target</t>
        </is>
      </c>
      <c r="I4" s="44" t="inlineStr">
        <is>
          <t>Remarks</t>
        </is>
      </c>
      <c r="J4" s="45" t="inlineStr">
        <is>
          <t>Leads So Far</t>
        </is>
      </c>
      <c r="K4" s="45" t="inlineStr">
        <is>
          <t>MQLs So Far</t>
        </is>
      </c>
      <c r="L4" s="45" t="inlineStr">
        <is>
          <t>Spend So Far</t>
        </is>
      </c>
      <c r="M4" s="45" t="inlineStr">
        <is>
          <t>% of Target</t>
        </is>
      </c>
      <c r="N4" s="45" t="inlineStr">
        <is>
          <t>Last Stats Entry</t>
        </is>
      </c>
      <c r="O4" s="45" t="inlineStr">
        <is>
          <t>Check</t>
        </is>
      </c>
    </row>
    <row r="5">
      <c r="A5" s="48" t="inlineStr">
        <is>
          <t>SAP</t>
        </is>
      </c>
      <c r="B5" s="50" t="inlineStr">
        <is>
          <t>SAP Partner Campaign - Citek</t>
        </is>
      </c>
      <c r="C5" s="48" t="inlineStr">
        <is>
          <t>Content Syndication</t>
        </is>
      </c>
      <c r="D5" s="48" t="inlineStr">
        <is>
          <t>Surbhi Pandey</t>
        </is>
      </c>
      <c r="E5" s="48" t="n"/>
      <c r="F5" s="47" t="n"/>
      <c r="G5" s="47" t="n"/>
      <c r="H5" s="49" t="n"/>
      <c r="I5" s="50" t="inlineStr">
        <is>
          <t>Content Syndication - Email. Status/dates not provided in baseline.</t>
        </is>
      </c>
      <c r="J5" s="52">
        <f>IF($B5="","",SUMIFS('UPDATE STATS'!$L$5:$L$1004,'UPDATE STATS'!$C$5:$C$1004,$B5))</f>
        <v>0</v>
      </c>
      <c r="K5" s="52">
        <f>IF($B5="","",SUMIFS('UPDATE STATS'!$M$5:$M$1004,'UPDATE STATS'!$C$5:$C$1004,$B5))</f>
        <v>0</v>
      </c>
      <c r="L5" s="52">
        <f>IF($B5="","",SUMIFS('UPDATE STATS'!$J$5:$J$1004,'UPDATE STATS'!$C$5:$C$1004,$B5))</f>
        <v>0</v>
      </c>
      <c r="M5" s="54" t="str">
        <f>IF(AND(ISNUMBER($H5),$H5&gt;0,ISNUMBER($J5)),$J5/$H5,"")</f>
        <v/>
      </c>
      <c r="N5" s="55" t="str">
        <f>IF($B5="","",IF(COUNTIFS('UPDATE STATS'!$C$5:$C$1004,$B5,'UPDATE STATS'!$A$5:$A$1004,"&gt;0")=0,"",_xlfn.MAXIFS('UPDATE STATS'!$A$5:$A$1004,'UPDATE STATS'!$C$5:$C$1004,$B5)))</f>
        <v/>
      </c>
      <c r="O5" s="53" t="str">
        <f>IF($B5="","",IF($E5&lt;&gt;"Live","",IF($N5="","No stats yet",IF(ReportDate-$N5&gt;7,"Update needed",IF(AND(ISNUMBER($M5),$M5&lt;0.5),"Behind target","OK")))))</f>
        <v/>
      </c>
    </row>
    <row r="6">
      <c r="A6" s="48" t="inlineStr">
        <is>
          <t>SAP</t>
        </is>
      </c>
      <c r="B6" s="50" t="inlineStr">
        <is>
          <t>SAP Partner Campaign - Apptech</t>
        </is>
      </c>
      <c r="C6" s="48" t="inlineStr">
        <is>
          <t>Content Syndication</t>
        </is>
      </c>
      <c r="D6" s="48" t="inlineStr">
        <is>
          <t>Surbhi Pandey</t>
        </is>
      </c>
      <c r="E6" s="48" t="n"/>
      <c r="F6" s="47" t="n"/>
      <c r="G6" s="47" t="n"/>
      <c r="H6" s="49" t="n"/>
      <c r="I6" s="50" t="inlineStr">
        <is>
          <t>Content Syndication - Email. Status/dates not provided in baseline.</t>
        </is>
      </c>
      <c r="J6" s="52">
        <f>IF($B6="","",SUMIFS('UPDATE STATS'!$L$5:$L$1004,'UPDATE STATS'!$C$5:$C$1004,$B6))</f>
        <v>0</v>
      </c>
      <c r="K6" s="52">
        <f>IF($B6="","",SUMIFS('UPDATE STATS'!$M$5:$M$1004,'UPDATE STATS'!$C$5:$C$1004,$B6))</f>
        <v>0</v>
      </c>
      <c r="L6" s="52">
        <f>IF($B6="","",SUMIFS('UPDATE STATS'!$J$5:$J$1004,'UPDATE STATS'!$C$5:$C$1004,$B6))</f>
        <v>0</v>
      </c>
      <c r="M6" s="54" t="str">
        <f>IF(AND(ISNUMBER($H6),$H6&gt;0,ISNUMBER($J6)),$J6/$H6,"")</f>
        <v/>
      </c>
      <c r="N6" s="55" t="str">
        <f>IF($B6="","",IF(COUNTIFS('UPDATE STATS'!$C$5:$C$1004,$B6,'UPDATE STATS'!$A$5:$A$1004,"&gt;0")=0,"",_xlfn.MAXIFS('UPDATE STATS'!$A$5:$A$1004,'UPDATE STATS'!$C$5:$C$1004,$B6)))</f>
        <v/>
      </c>
      <c r="O6" s="53" t="str">
        <f>IF($B6="","",IF($E6&lt;&gt;"Live","",IF($N6="","No stats yet",IF(ReportDate-$N6&gt;7,"Update needed",IF(AND(ISNUMBER($M6),$M6&lt;0.5),"Behind target","OK")))))</f>
        <v/>
      </c>
    </row>
    <row r="7">
      <c r="A7" s="48" t="inlineStr">
        <is>
          <t>SAP</t>
        </is>
      </c>
      <c r="B7" s="50" t="inlineStr">
        <is>
          <t>SAP Partner Campaign - Netizen</t>
        </is>
      </c>
      <c r="C7" s="48" t="inlineStr">
        <is>
          <t>Content Syndication</t>
        </is>
      </c>
      <c r="D7" s="48" t="inlineStr">
        <is>
          <t>Surbhi Pandey</t>
        </is>
      </c>
      <c r="E7" s="48" t="n"/>
      <c r="F7" s="47" t="n"/>
      <c r="G7" s="47" t="n"/>
      <c r="H7" s="49" t="n"/>
      <c r="I7" s="50" t="inlineStr">
        <is>
          <t>Content Syndication - Email. Status/dates not provided in baseline.</t>
        </is>
      </c>
      <c r="J7" s="52">
        <f>IF($B7="","",SUMIFS('UPDATE STATS'!$L$5:$L$1004,'UPDATE STATS'!$C$5:$C$1004,$B7))</f>
        <v>0</v>
      </c>
      <c r="K7" s="52">
        <f>IF($B7="","",SUMIFS('UPDATE STATS'!$M$5:$M$1004,'UPDATE STATS'!$C$5:$C$1004,$B7))</f>
        <v>0</v>
      </c>
      <c r="L7" s="52">
        <f>IF($B7="","",SUMIFS('UPDATE STATS'!$J$5:$J$1004,'UPDATE STATS'!$C$5:$C$1004,$B7))</f>
        <v>0</v>
      </c>
      <c r="M7" s="54" t="str">
        <f>IF(AND(ISNUMBER($H7),$H7&gt;0,ISNUMBER($J7)),$J7/$H7,"")</f>
        <v/>
      </c>
      <c r="N7" s="55" t="str">
        <f>IF($B7="","",IF(COUNTIFS('UPDATE STATS'!$C$5:$C$1004,$B7,'UPDATE STATS'!$A$5:$A$1004,"&gt;0")=0,"",_xlfn.MAXIFS('UPDATE STATS'!$A$5:$A$1004,'UPDATE STATS'!$C$5:$C$1004,$B7)))</f>
        <v/>
      </c>
      <c r="O7" s="53" t="str">
        <f>IF($B7="","",IF($E7&lt;&gt;"Live","",IF($N7="","No stats yet",IF(ReportDate-$N7&gt;7,"Update needed",IF(AND(ISNUMBER($M7),$M7&lt;0.5),"Behind target","OK")))))</f>
        <v/>
      </c>
    </row>
    <row r="8">
      <c r="A8" s="48" t="inlineStr">
        <is>
          <t>SAP</t>
        </is>
      </c>
      <c r="B8" s="50" t="inlineStr">
        <is>
          <t>SAP Partner Campaign - Ikyam</t>
        </is>
      </c>
      <c r="C8" s="48" t="inlineStr">
        <is>
          <t>Content Syndication</t>
        </is>
      </c>
      <c r="D8" s="48" t="inlineStr">
        <is>
          <t>Surbhi Pandey</t>
        </is>
      </c>
      <c r="E8" s="48" t="n"/>
      <c r="F8" s="47" t="n"/>
      <c r="G8" s="47" t="n"/>
      <c r="H8" s="49" t="n"/>
      <c r="I8" s="50" t="inlineStr">
        <is>
          <t>Content Syndication - Email. Status/dates not provided in baseline.</t>
        </is>
      </c>
      <c r="J8" s="52">
        <f>IF($B8="","",SUMIFS('UPDATE STATS'!$L$5:$L$1004,'UPDATE STATS'!$C$5:$C$1004,$B8))</f>
        <v>0</v>
      </c>
      <c r="K8" s="52">
        <f>IF($B8="","",SUMIFS('UPDATE STATS'!$M$5:$M$1004,'UPDATE STATS'!$C$5:$C$1004,$B8))</f>
        <v>0</v>
      </c>
      <c r="L8" s="52">
        <f>IF($B8="","",SUMIFS('UPDATE STATS'!$J$5:$J$1004,'UPDATE STATS'!$C$5:$C$1004,$B8))</f>
        <v>0</v>
      </c>
      <c r="M8" s="54" t="str">
        <f>IF(AND(ISNUMBER($H8),$H8&gt;0,ISNUMBER($J8)),$J8/$H8,"")</f>
        <v/>
      </c>
      <c r="N8" s="55" t="str">
        <f>IF($B8="","",IF(COUNTIFS('UPDATE STATS'!$C$5:$C$1004,$B8,'UPDATE STATS'!$A$5:$A$1004,"&gt;0")=0,"",_xlfn.MAXIFS('UPDATE STATS'!$A$5:$A$1004,'UPDATE STATS'!$C$5:$C$1004,$B8)))</f>
        <v/>
      </c>
      <c r="O8" s="53" t="str">
        <f>IF($B8="","",IF($E8&lt;&gt;"Live","",IF($N8="","No stats yet",IF(ReportDate-$N8&gt;7,"Update needed",IF(AND(ISNUMBER($M8),$M8&lt;0.5),"Behind target","OK")))))</f>
        <v/>
      </c>
    </row>
    <row r="9">
      <c r="A9" s="48" t="inlineStr">
        <is>
          <t>SAP</t>
        </is>
      </c>
      <c r="B9" s="50" t="inlineStr">
        <is>
          <t>SAP Partner Campaign - Castaliaz</t>
        </is>
      </c>
      <c r="C9" s="48" t="inlineStr">
        <is>
          <t>Content Syndication</t>
        </is>
      </c>
      <c r="D9" s="48" t="inlineStr">
        <is>
          <t>Surbhi Pandey</t>
        </is>
      </c>
      <c r="E9" s="48" t="n"/>
      <c r="F9" s="47" t="n"/>
      <c r="G9" s="47" t="n"/>
      <c r="H9" s="49" t="n"/>
      <c r="I9" s="50" t="inlineStr">
        <is>
          <t>Content Syndication - Email. Status/dates not provided in baseline.</t>
        </is>
      </c>
      <c r="J9" s="52">
        <f>IF($B9="","",SUMIFS('UPDATE STATS'!$L$5:$L$1004,'UPDATE STATS'!$C$5:$C$1004,$B9))</f>
        <v>0</v>
      </c>
      <c r="K9" s="52">
        <f>IF($B9="","",SUMIFS('UPDATE STATS'!$M$5:$M$1004,'UPDATE STATS'!$C$5:$C$1004,$B9))</f>
        <v>0</v>
      </c>
      <c r="L9" s="52">
        <f>IF($B9="","",SUMIFS('UPDATE STATS'!$J$5:$J$1004,'UPDATE STATS'!$C$5:$C$1004,$B9))</f>
        <v>0</v>
      </c>
      <c r="M9" s="54" t="str">
        <f>IF(AND(ISNUMBER($H9),$H9&gt;0,ISNUMBER($J9)),$J9/$H9,"")</f>
        <v/>
      </c>
      <c r="N9" s="55" t="str">
        <f>IF($B9="","",IF(COUNTIFS('UPDATE STATS'!$C$5:$C$1004,$B9,'UPDATE STATS'!$A$5:$A$1004,"&gt;0")=0,"",_xlfn.MAXIFS('UPDATE STATS'!$A$5:$A$1004,'UPDATE STATS'!$C$5:$C$1004,$B9)))</f>
        <v/>
      </c>
      <c r="O9" s="53" t="str">
        <f>IF($B9="","",IF($E9&lt;&gt;"Live","",IF($N9="","No stats yet",IF(ReportDate-$N9&gt;7,"Update needed",IF(AND(ISNUMBER($M9),$M9&lt;0.5),"Behind target","OK")))))</f>
        <v/>
      </c>
    </row>
    <row r="10">
      <c r="A10" s="48" t="inlineStr">
        <is>
          <t>SAP</t>
        </is>
      </c>
      <c r="B10" s="50" t="inlineStr">
        <is>
          <t>SAP Partner Campaign - Truspeq</t>
        </is>
      </c>
      <c r="C10" s="48" t="inlineStr">
        <is>
          <t>Content Syndication</t>
        </is>
      </c>
      <c r="D10" s="48" t="inlineStr">
        <is>
          <t>Surbhi Pandey</t>
        </is>
      </c>
      <c r="E10" s="48" t="n"/>
      <c r="F10" s="47" t="n"/>
      <c r="G10" s="47" t="n"/>
      <c r="H10" s="49" t="n"/>
      <c r="I10" s="50" t="inlineStr">
        <is>
          <t>Content Syndication - Email. Status/dates not provided in baseline.</t>
        </is>
      </c>
      <c r="J10" s="52">
        <f>IF($B10="","",SUMIFS('UPDATE STATS'!$L$5:$L$1004,'UPDATE STATS'!$C$5:$C$1004,$B10))</f>
        <v>0</v>
      </c>
      <c r="K10" s="52">
        <f>IF($B10="","",SUMIFS('UPDATE STATS'!$M$5:$M$1004,'UPDATE STATS'!$C$5:$C$1004,$B10))</f>
        <v>0</v>
      </c>
      <c r="L10" s="52">
        <f>IF($B10="","",SUMIFS('UPDATE STATS'!$J$5:$J$1004,'UPDATE STATS'!$C$5:$C$1004,$B10))</f>
        <v>0</v>
      </c>
      <c r="M10" s="54" t="str">
        <f>IF(AND(ISNUMBER($H10),$H10&gt;0,ISNUMBER($J10)),$J10/$H10,"")</f>
        <v/>
      </c>
      <c r="N10" s="55" t="str">
        <f>IF($B10="","",IF(COUNTIFS('UPDATE STATS'!$C$5:$C$1004,$B10,'UPDATE STATS'!$A$5:$A$1004,"&gt;0")=0,"",_xlfn.MAXIFS('UPDATE STATS'!$A$5:$A$1004,'UPDATE STATS'!$C$5:$C$1004,$B10)))</f>
        <v/>
      </c>
      <c r="O10" s="53" t="str">
        <f>IF($B10="","",IF($E10&lt;&gt;"Live","",IF($N10="","No stats yet",IF(ReportDate-$N10&gt;7,"Update needed",IF(AND(ISNUMBER($M10),$M10&lt;0.5),"Behind target","OK")))))</f>
        <v/>
      </c>
    </row>
    <row r="11">
      <c r="A11" s="48" t="inlineStr">
        <is>
          <t>SAP</t>
        </is>
      </c>
      <c r="B11" s="50" t="inlineStr">
        <is>
          <t>SAP Partner Campaign - NTT Data</t>
        </is>
      </c>
      <c r="C11" s="48" t="inlineStr">
        <is>
          <t>Content Syndication</t>
        </is>
      </c>
      <c r="D11" s="48" t="inlineStr">
        <is>
          <t>Surbhi Pandey</t>
        </is>
      </c>
      <c r="E11" s="48" t="n"/>
      <c r="F11" s="47" t="n"/>
      <c r="G11" s="47" t="n"/>
      <c r="H11" s="49" t="n"/>
      <c r="I11" s="50" t="inlineStr">
        <is>
          <t>Content Syndication - Email. Status/dates not provided in baseline.</t>
        </is>
      </c>
      <c r="J11" s="52">
        <f>IF($B11="","",SUMIFS('UPDATE STATS'!$L$5:$L$1004,'UPDATE STATS'!$C$5:$C$1004,$B11))</f>
        <v>0</v>
      </c>
      <c r="K11" s="52">
        <f>IF($B11="","",SUMIFS('UPDATE STATS'!$M$5:$M$1004,'UPDATE STATS'!$C$5:$C$1004,$B11))</f>
        <v>0</v>
      </c>
      <c r="L11" s="52">
        <f>IF($B11="","",SUMIFS('UPDATE STATS'!$J$5:$J$1004,'UPDATE STATS'!$C$5:$C$1004,$B11))</f>
        <v>0</v>
      </c>
      <c r="M11" s="54" t="str">
        <f>IF(AND(ISNUMBER($H11),$H11&gt;0,ISNUMBER($J11)),$J11/$H11,"")</f>
        <v/>
      </c>
      <c r="N11" s="55" t="str">
        <f>IF($B11="","",IF(COUNTIFS('UPDATE STATS'!$C$5:$C$1004,$B11,'UPDATE STATS'!$A$5:$A$1004,"&gt;0")=0,"",_xlfn.MAXIFS('UPDATE STATS'!$A$5:$A$1004,'UPDATE STATS'!$C$5:$C$1004,$B11)))</f>
        <v/>
      </c>
      <c r="O11" s="53" t="str">
        <f>IF($B11="","",IF($E11&lt;&gt;"Live","",IF($N11="","No stats yet",IF(ReportDate-$N11&gt;7,"Update needed",IF(AND(ISNUMBER($M11),$M11&lt;0.5),"Behind target","OK")))))</f>
        <v/>
      </c>
    </row>
    <row r="12">
      <c r="A12" s="48" t="inlineStr">
        <is>
          <t>SAP</t>
        </is>
      </c>
      <c r="B12" s="50" t="inlineStr">
        <is>
          <t>SAP Partner Campaign - Abeam TH</t>
        </is>
      </c>
      <c r="C12" s="48" t="inlineStr">
        <is>
          <t>Content Syndication</t>
        </is>
      </c>
      <c r="D12" s="48" t="inlineStr">
        <is>
          <t>Surbhi Pandey</t>
        </is>
      </c>
      <c r="E12" s="48" t="n"/>
      <c r="F12" s="47" t="n"/>
      <c r="G12" s="47" t="n"/>
      <c r="H12" s="49" t="n"/>
      <c r="I12" s="50" t="inlineStr">
        <is>
          <t>Content Syndication - Email. Status/dates not provided in baseline.</t>
        </is>
      </c>
      <c r="J12" s="52">
        <f>IF($B12="","",SUMIFS('UPDATE STATS'!$L$5:$L$1004,'UPDATE STATS'!$C$5:$C$1004,$B12))</f>
        <v>0</v>
      </c>
      <c r="K12" s="52">
        <f>IF($B12="","",SUMIFS('UPDATE STATS'!$M$5:$M$1004,'UPDATE STATS'!$C$5:$C$1004,$B12))</f>
        <v>0</v>
      </c>
      <c r="L12" s="52">
        <f>IF($B12="","",SUMIFS('UPDATE STATS'!$J$5:$J$1004,'UPDATE STATS'!$C$5:$C$1004,$B12))</f>
        <v>0</v>
      </c>
      <c r="M12" s="54" t="str">
        <f>IF(AND(ISNUMBER($H12),$H12&gt;0,ISNUMBER($J12)),$J12/$H12,"")</f>
        <v/>
      </c>
      <c r="N12" s="55" t="str">
        <f>IF($B12="","",IF(COUNTIFS('UPDATE STATS'!$C$5:$C$1004,$B12,'UPDATE STATS'!$A$5:$A$1004,"&gt;0")=0,"",_xlfn.MAXIFS('UPDATE STATS'!$A$5:$A$1004,'UPDATE STATS'!$C$5:$C$1004,$B12)))</f>
        <v/>
      </c>
      <c r="O12" s="53" t="str">
        <f>IF($B12="","",IF($E12&lt;&gt;"Live","",IF($N12="","No stats yet",IF(ReportDate-$N12&gt;7,"Update needed",IF(AND(ISNUMBER($M12),$M12&lt;0.5),"Behind target","OK")))))</f>
        <v/>
      </c>
    </row>
    <row r="13">
      <c r="A13" s="48" t="inlineStr">
        <is>
          <t>Utimaco Singapore</t>
        </is>
      </c>
      <c r="B13" s="50" t="inlineStr">
        <is>
          <t>Utimaco Singapore</t>
        </is>
      </c>
      <c r="C13" s="48" t="inlineStr">
        <is>
          <t>Content Syndication</t>
        </is>
      </c>
      <c r="D13" s="48" t="inlineStr">
        <is>
          <t>Surbhi Pandey</t>
        </is>
      </c>
      <c r="E13" s="48" t="n"/>
      <c r="F13" s="47" t="n"/>
      <c r="G13" s="47" t="n"/>
      <c r="H13" s="49" t="n"/>
      <c r="I13" s="50" t="inlineStr">
        <is>
          <t>Content Syndication - Email.</t>
        </is>
      </c>
      <c r="J13" s="52">
        <f>IF($B13="","",SUMIFS('UPDATE STATS'!$L$5:$L$1004,'UPDATE STATS'!$C$5:$C$1004,$B13))</f>
        <v>0</v>
      </c>
      <c r="K13" s="52">
        <f>IF($B13="","",SUMIFS('UPDATE STATS'!$M$5:$M$1004,'UPDATE STATS'!$C$5:$C$1004,$B13))</f>
        <v>0</v>
      </c>
      <c r="L13" s="52">
        <f>IF($B13="","",SUMIFS('UPDATE STATS'!$J$5:$J$1004,'UPDATE STATS'!$C$5:$C$1004,$B13))</f>
        <v>0</v>
      </c>
      <c r="M13" s="54" t="str">
        <f>IF(AND(ISNUMBER($H13),$H13&gt;0,ISNUMBER($J13)),$J13/$H13,"")</f>
        <v/>
      </c>
      <c r="N13" s="55" t="str">
        <f>IF($B13="","",IF(COUNTIFS('UPDATE STATS'!$C$5:$C$1004,$B13,'UPDATE STATS'!$A$5:$A$1004,"&gt;0")=0,"",_xlfn.MAXIFS('UPDATE STATS'!$A$5:$A$1004,'UPDATE STATS'!$C$5:$C$1004,$B13)))</f>
        <v/>
      </c>
      <c r="O13" s="53" t="str">
        <f>IF($B13="","",IF($E13&lt;&gt;"Live","",IF($N13="","No stats yet",IF(ReportDate-$N13&gt;7,"Update needed",IF(AND(ISNUMBER($M13),$M13&lt;0.5),"Behind target","OK")))))</f>
        <v/>
      </c>
    </row>
    <row r="14">
      <c r="A14" s="48" t="inlineStr">
        <is>
          <t>SAP</t>
        </is>
      </c>
      <c r="B14" s="50" t="inlineStr">
        <is>
          <t>SAP Success Factor HR Bengaluru</t>
        </is>
      </c>
      <c r="C14" s="48" t="inlineStr">
        <is>
          <t>Content Syndication</t>
        </is>
      </c>
      <c r="D14" s="48" t="inlineStr">
        <is>
          <t>Surbhi Pandey</t>
        </is>
      </c>
      <c r="E14" s="48" t="n"/>
      <c r="F14" s="47" t="n"/>
      <c r="G14" s="47" t="n"/>
      <c r="H14" s="49" t="n"/>
      <c r="I14" s="50" t="inlineStr">
        <is>
          <t>Email + WhatsApp. Deployments: 25th Sep and 9th Oct (year assumed 2026).</t>
        </is>
      </c>
      <c r="J14" s="52">
        <f>IF($B14="","",SUMIFS('UPDATE STATS'!$L$5:$L$1004,'UPDATE STATS'!$C$5:$C$1004,$B14))</f>
        <v>0</v>
      </c>
      <c r="K14" s="52">
        <f>IF($B14="","",SUMIFS('UPDATE STATS'!$M$5:$M$1004,'UPDATE STATS'!$C$5:$C$1004,$B14))</f>
        <v>0</v>
      </c>
      <c r="L14" s="52">
        <f>IF($B14="","",SUMIFS('UPDATE STATS'!$J$5:$J$1004,'UPDATE STATS'!$C$5:$C$1004,$B14))</f>
        <v>0</v>
      </c>
      <c r="M14" s="54" t="str">
        <f>IF(AND(ISNUMBER($H14),$H14&gt;0,ISNUMBER($J14)),$J14/$H14,"")</f>
        <v/>
      </c>
      <c r="N14" s="55" t="str">
        <f>IF($B14="","",IF(COUNTIFS('UPDATE STATS'!$C$5:$C$1004,$B14,'UPDATE STATS'!$A$5:$A$1004,"&gt;0")=0,"",_xlfn.MAXIFS('UPDATE STATS'!$A$5:$A$1004,'UPDATE STATS'!$C$5:$C$1004,$B14)))</f>
        <v/>
      </c>
      <c r="O14" s="53" t="str">
        <f>IF($B14="","",IF($E14&lt;&gt;"Live","",IF($N14="","No stats yet",IF(ReportDate-$N14&gt;7,"Update needed",IF(AND(ISNUMBER($M14),$M14&lt;0.5),"Behind target","OK")))))</f>
        <v/>
      </c>
    </row>
    <row r="15">
      <c r="A15" s="48" t="inlineStr">
        <is>
          <t>SAP</t>
        </is>
      </c>
      <c r="B15" s="50" t="inlineStr">
        <is>
          <t>SAP Viksit Bharat</t>
        </is>
      </c>
      <c r="C15" s="48" t="inlineStr">
        <is>
          <t>Content Syndication</t>
        </is>
      </c>
      <c r="D15" s="48" t="inlineStr">
        <is>
          <t>Surbhi Pandey</t>
        </is>
      </c>
      <c r="E15" s="48" t="n"/>
      <c r="F15" s="47" t="n"/>
      <c r="G15" s="47" t="n"/>
      <c r="H15" s="49" t="n"/>
      <c r="I15" s="50" t="inlineStr">
        <is>
          <t>Email + WhatsApp. Deployments: 25th Sep and 6th Oct (year assumed 2026).</t>
        </is>
      </c>
      <c r="J15" s="52">
        <f>IF($B15="","",SUMIFS('UPDATE STATS'!$L$5:$L$1004,'UPDATE STATS'!$C$5:$C$1004,$B15))</f>
        <v>0</v>
      </c>
      <c r="K15" s="52">
        <f>IF($B15="","",SUMIFS('UPDATE STATS'!$M$5:$M$1004,'UPDATE STATS'!$C$5:$C$1004,$B15))</f>
        <v>0</v>
      </c>
      <c r="L15" s="52">
        <f>IF($B15="","",SUMIFS('UPDATE STATS'!$J$5:$J$1004,'UPDATE STATS'!$C$5:$C$1004,$B15))</f>
        <v>0</v>
      </c>
      <c r="M15" s="54" t="str">
        <f>IF(AND(ISNUMBER($H15),$H15&gt;0,ISNUMBER($J15)),$J15/$H15,"")</f>
        <v/>
      </c>
      <c r="N15" s="55" t="str">
        <f>IF($B15="","",IF(COUNTIFS('UPDATE STATS'!$C$5:$C$1004,$B15,'UPDATE STATS'!$A$5:$A$1004,"&gt;0")=0,"",_xlfn.MAXIFS('UPDATE STATS'!$A$5:$A$1004,'UPDATE STATS'!$C$5:$C$1004,$B15)))</f>
        <v/>
      </c>
      <c r="O15" s="53" t="str">
        <f>IF($B15="","",IF($E15&lt;&gt;"Live","",IF($N15="","No stats yet",IF(ReportDate-$N15&gt;7,"Update needed",IF(AND(ISNUMBER($M15),$M15&lt;0.5),"Behind target","OK")))))</f>
        <v/>
      </c>
    </row>
    <row r="16">
      <c r="A16" s="48" t="inlineStr">
        <is>
          <t>SAP</t>
        </is>
      </c>
      <c r="B16" s="50" t="inlineStr">
        <is>
          <t>SAP Success Factor Delhi</t>
        </is>
      </c>
      <c r="C16" s="48" t="inlineStr">
        <is>
          <t>Content Syndication</t>
        </is>
      </c>
      <c r="D16" s="48" t="inlineStr">
        <is>
          <t>Surbhi Pandey</t>
        </is>
      </c>
      <c r="E16" s="48" t="n"/>
      <c r="F16" s="47" t="n"/>
      <c r="G16" s="47" t="n"/>
      <c r="H16" s="49" t="n"/>
      <c r="I16" s="50" t="inlineStr">
        <is>
          <t>Email + WhatsApp. Deployment: 30th Sep (year assumed 2026).</t>
        </is>
      </c>
      <c r="J16" s="52">
        <f>IF($B16="","",SUMIFS('UPDATE STATS'!$L$5:$L$1004,'UPDATE STATS'!$C$5:$C$1004,$B16))</f>
        <v>0</v>
      </c>
      <c r="K16" s="52">
        <f>IF($B16="","",SUMIFS('UPDATE STATS'!$M$5:$M$1004,'UPDATE STATS'!$C$5:$C$1004,$B16))</f>
        <v>0</v>
      </c>
      <c r="L16" s="52">
        <f>IF($B16="","",SUMIFS('UPDATE STATS'!$J$5:$J$1004,'UPDATE STATS'!$C$5:$C$1004,$B16))</f>
        <v>0</v>
      </c>
      <c r="M16" s="54" t="str">
        <f>IF(AND(ISNUMBER($H16),$H16&gt;0,ISNUMBER($J16)),$J16/$H16,"")</f>
        <v/>
      </c>
      <c r="N16" s="55" t="str">
        <f>IF($B16="","",IF(COUNTIFS('UPDATE STATS'!$C$5:$C$1004,$B16,'UPDATE STATS'!$A$5:$A$1004,"&gt;0")=0,"",_xlfn.MAXIFS('UPDATE STATS'!$A$5:$A$1004,'UPDATE STATS'!$C$5:$C$1004,$B16)))</f>
        <v/>
      </c>
      <c r="O16" s="53" t="str">
        <f>IF($B16="","",IF($E16&lt;&gt;"Live","",IF($N16="","No stats yet",IF(ReportDate-$N16&gt;7,"Update needed",IF(AND(ISNUMBER($M16),$M16&lt;0.5),"Behind target","OK")))))</f>
        <v/>
      </c>
    </row>
    <row r="17">
      <c r="A17" s="48" t="inlineStr">
        <is>
          <t>SAP</t>
        </is>
      </c>
      <c r="B17" s="50" t="inlineStr">
        <is>
          <t>SAP HRMS</t>
        </is>
      </c>
      <c r="C17" s="48" t="inlineStr">
        <is>
          <t>LinkedIn Outreach</t>
        </is>
      </c>
      <c r="D17" s="48" t="inlineStr">
        <is>
          <t>Surbhi Pandey</t>
        </is>
      </c>
      <c r="E17" s="48" t="n"/>
      <c r="F17" s="47" t="n"/>
      <c r="G17" s="47" t="n"/>
      <c r="H17" s="49" t="n"/>
      <c r="I17" s="50" t="inlineStr">
        <is>
          <t>Dripify &amp; Sales Navigator.</t>
        </is>
      </c>
      <c r="J17" s="52">
        <f>IF($B17="","",SUMIFS('UPDATE STATS'!$L$5:$L$1004,'UPDATE STATS'!$C$5:$C$1004,$B17))</f>
        <v>0</v>
      </c>
      <c r="K17" s="52">
        <f>IF($B17="","",SUMIFS('UPDATE STATS'!$M$5:$M$1004,'UPDATE STATS'!$C$5:$C$1004,$B17))</f>
        <v>0</v>
      </c>
      <c r="L17" s="52">
        <f>IF($B17="","",SUMIFS('UPDATE STATS'!$J$5:$J$1004,'UPDATE STATS'!$C$5:$C$1004,$B17))</f>
        <v>0</v>
      </c>
      <c r="M17" s="54" t="str">
        <f>IF(AND(ISNUMBER($H17),$H17&gt;0,ISNUMBER($J17)),$J17/$H17,"")</f>
        <v/>
      </c>
      <c r="N17" s="55" t="str">
        <f>IF($B17="","",IF(COUNTIFS('UPDATE STATS'!$C$5:$C$1004,$B17,'UPDATE STATS'!$A$5:$A$1004,"&gt;0")=0,"",_xlfn.MAXIFS('UPDATE STATS'!$A$5:$A$1004,'UPDATE STATS'!$C$5:$C$1004,$B17)))</f>
        <v/>
      </c>
      <c r="O17" s="53" t="str">
        <f>IF($B17="","",IF($E17&lt;&gt;"Live","",IF($N17="","No stats yet",IF(ReportDate-$N17&gt;7,"Update needed",IF(AND(ISNUMBER($M17),$M17&lt;0.5),"Behind target","OK")))))</f>
        <v/>
      </c>
    </row>
    <row r="18">
      <c r="A18" s="48" t="inlineStr">
        <is>
          <t>Vestrics</t>
        </is>
      </c>
      <c r="B18" s="50" t="inlineStr">
        <is>
          <t>Vestrics - Google Ads</t>
        </is>
      </c>
      <c r="C18" s="48" t="inlineStr">
        <is>
          <t>Google Ads</t>
        </is>
      </c>
      <c r="D18" s="48" t="inlineStr">
        <is>
          <t>Richi Bagla</t>
        </is>
      </c>
      <c r="E18" s="48" t="n"/>
      <c r="F18" s="47" t="n"/>
      <c r="G18" s="47" t="n"/>
      <c r="H18" s="49" t="n"/>
      <c r="I18" s="50" t="inlineStr">
        <is>
          <t>Target as provided: 10-15 leads in a month.</t>
        </is>
      </c>
      <c r="J18" s="52">
        <f>IF($B18="","",SUMIFS('UPDATE STATS'!$L$5:$L$1004,'UPDATE STATS'!$C$5:$C$1004,$B18))</f>
        <v>0</v>
      </c>
      <c r="K18" s="52">
        <f>IF($B18="","",SUMIFS('UPDATE STATS'!$M$5:$M$1004,'UPDATE STATS'!$C$5:$C$1004,$B18))</f>
        <v>0</v>
      </c>
      <c r="L18" s="52">
        <f>IF($B18="","",SUMIFS('UPDATE STATS'!$J$5:$J$1004,'UPDATE STATS'!$C$5:$C$1004,$B18))</f>
        <v>0</v>
      </c>
      <c r="M18" s="54" t="str">
        <f>IF(AND(ISNUMBER($H18),$H18&gt;0,ISNUMBER($J18)),$J18/$H18,"")</f>
        <v/>
      </c>
      <c r="N18" s="55" t="str">
        <f>IF($B18="","",IF(COUNTIFS('UPDATE STATS'!$C$5:$C$1004,$B18,'UPDATE STATS'!$A$5:$A$1004,"&gt;0")=0,"",_xlfn.MAXIFS('UPDATE STATS'!$A$5:$A$1004,'UPDATE STATS'!$C$5:$C$1004,$B18)))</f>
        <v/>
      </c>
      <c r="O18" s="53" t="str">
        <f>IF($B18="","",IF($E18&lt;&gt;"Live","",IF($N18="","No stats yet",IF(ReportDate-$N18&gt;7,"Update needed",IF(AND(ISNUMBER($M18),$M18&lt;0.5),"Behind target","OK")))))</f>
        <v/>
      </c>
    </row>
    <row r="19">
      <c r="A19" s="48" t="inlineStr">
        <is>
          <t>Eternelle</t>
        </is>
      </c>
      <c r="B19" s="50" t="inlineStr">
        <is>
          <t>Eternelle - Google Ads</t>
        </is>
      </c>
      <c r="C19" s="48" t="inlineStr">
        <is>
          <t>Google Ads</t>
        </is>
      </c>
      <c r="D19" s="48" t="inlineStr">
        <is>
          <t>Richi Bagla</t>
        </is>
      </c>
      <c r="E19" s="48" t="n"/>
      <c r="F19" s="47" t="n"/>
      <c r="G19" s="47" t="n"/>
      <c r="H19" s="49" t="n"/>
      <c r="I19" s="50" t="inlineStr">
        <is>
          <t>Target as provided: 8-10 leads daily.</t>
        </is>
      </c>
      <c r="J19" s="52">
        <f>IF($B19="","",SUMIFS('UPDATE STATS'!$L$5:$L$1004,'UPDATE STATS'!$C$5:$C$1004,$B19))</f>
        <v>0</v>
      </c>
      <c r="K19" s="52">
        <f>IF($B19="","",SUMIFS('UPDATE STATS'!$M$5:$M$1004,'UPDATE STATS'!$C$5:$C$1004,$B19))</f>
        <v>0</v>
      </c>
      <c r="L19" s="52">
        <f>IF($B19="","",SUMIFS('UPDATE STATS'!$J$5:$J$1004,'UPDATE STATS'!$C$5:$C$1004,$B19))</f>
        <v>0</v>
      </c>
      <c r="M19" s="54" t="str">
        <f>IF(AND(ISNUMBER($H19),$H19&gt;0,ISNUMBER($J19)),$J19/$H19,"")</f>
        <v/>
      </c>
      <c r="N19" s="55" t="str">
        <f>IF($B19="","",IF(COUNTIFS('UPDATE STATS'!$C$5:$C$1004,$B19,'UPDATE STATS'!$A$5:$A$1004,"&gt;0")=0,"",_xlfn.MAXIFS('UPDATE STATS'!$A$5:$A$1004,'UPDATE STATS'!$C$5:$C$1004,$B19)))</f>
        <v/>
      </c>
      <c r="O19" s="53" t="str">
        <f>IF($B19="","",IF($E19&lt;&gt;"Live","",IF($N19="","No stats yet",IF(ReportDate-$N19&gt;7,"Update needed",IF(AND(ISNUMBER($M19),$M19&lt;0.5),"Behind target","OK")))))</f>
        <v/>
      </c>
    </row>
    <row r="20">
      <c r="A20" s="48" t="inlineStr">
        <is>
          <t>Magnasoft</t>
        </is>
      </c>
      <c r="B20" s="50" t="inlineStr">
        <is>
          <t>Magnasoft - Google Ads</t>
        </is>
      </c>
      <c r="C20" s="48" t="inlineStr">
        <is>
          <t>Google Ads</t>
        </is>
      </c>
      <c r="D20" s="48" t="inlineStr">
        <is>
          <t>Richi Bagla</t>
        </is>
      </c>
      <c r="E20" s="48" t="n"/>
      <c r="F20" s="47" t="n"/>
      <c r="G20" s="47" t="n"/>
      <c r="H20" s="49" t="n"/>
      <c r="I20" s="50" t="inlineStr">
        <is>
          <t>Target: 'No update' in Project Updates.</t>
        </is>
      </c>
      <c r="J20" s="52">
        <f>IF($B20="","",SUMIFS('UPDATE STATS'!$L$5:$L$1004,'UPDATE STATS'!$C$5:$C$1004,$B20))</f>
        <v>0</v>
      </c>
      <c r="K20" s="52">
        <f>IF($B20="","",SUMIFS('UPDATE STATS'!$M$5:$M$1004,'UPDATE STATS'!$C$5:$C$1004,$B20))</f>
        <v>0</v>
      </c>
      <c r="L20" s="52">
        <f>IF($B20="","",SUMIFS('UPDATE STATS'!$J$5:$J$1004,'UPDATE STATS'!$C$5:$C$1004,$B20))</f>
        <v>0</v>
      </c>
      <c r="M20" s="54" t="str">
        <f>IF(AND(ISNUMBER($H20),$H20&gt;0,ISNUMBER($J20)),$J20/$H20,"")</f>
        <v/>
      </c>
      <c r="N20" s="55" t="str">
        <f>IF($B20="","",IF(COUNTIFS('UPDATE STATS'!$C$5:$C$1004,$B20,'UPDATE STATS'!$A$5:$A$1004,"&gt;0")=0,"",_xlfn.MAXIFS('UPDATE STATS'!$A$5:$A$1004,'UPDATE STATS'!$C$5:$C$1004,$B20)))</f>
        <v/>
      </c>
      <c r="O20" s="53" t="str">
        <f>IF($B20="","",IF($E20&lt;&gt;"Live","",IF($N20="","No stats yet",IF(ReportDate-$N20&gt;7,"Update needed",IF(AND(ISNUMBER($M20),$M20&lt;0.5),"Behind target","OK")))))</f>
        <v/>
      </c>
    </row>
    <row r="21">
      <c r="A21" s="48" t="inlineStr">
        <is>
          <t>Ruckus Networks</t>
        </is>
      </c>
      <c r="B21" s="50" t="inlineStr">
        <is>
          <t>Ruckus - Content Syndication (Email)</t>
        </is>
      </c>
      <c r="C21" s="48" t="inlineStr">
        <is>
          <t>Content Syndication</t>
        </is>
      </c>
      <c r="D21" s="48" t="inlineStr">
        <is>
          <t>Richi Bagla</t>
        </is>
      </c>
      <c r="E21" s="48" t="n"/>
      <c r="F21" s="47" t="n"/>
      <c r="G21" s="47" t="n"/>
      <c r="H21" s="49" t="n">
        <v>50</v>
      </c>
      <c r="I21" s="50" t="inlineStr">
        <is>
          <t>Target: 50 form fills (Project Updates); 50 leads over 3 months (billing sheet).</t>
        </is>
      </c>
      <c r="J21" s="52">
        <f>IF($B21="","",SUMIFS('UPDATE STATS'!$L$5:$L$1004,'UPDATE STATS'!$C$5:$C$1004,$B21))</f>
        <v>0</v>
      </c>
      <c r="K21" s="52">
        <f>IF($B21="","",SUMIFS('UPDATE STATS'!$M$5:$M$1004,'UPDATE STATS'!$C$5:$C$1004,$B21))</f>
        <v>0</v>
      </c>
      <c r="L21" s="52">
        <f>IF($B21="","",SUMIFS('UPDATE STATS'!$J$5:$J$1004,'UPDATE STATS'!$C$5:$C$1004,$B21))</f>
        <v>0</v>
      </c>
      <c r="M21" s="54">
        <f>IF(AND(ISNUMBER($H21),$H21&gt;0,ISNUMBER($J21)),$J21/$H21,"")</f>
        <v>0</v>
      </c>
      <c r="N21" s="55" t="str">
        <f>IF($B21="","",IF(COUNTIFS('UPDATE STATS'!$C$5:$C$1004,$B21,'UPDATE STATS'!$A$5:$A$1004,"&gt;0")=0,"",_xlfn.MAXIFS('UPDATE STATS'!$A$5:$A$1004,'UPDATE STATS'!$C$5:$C$1004,$B21)))</f>
        <v/>
      </c>
      <c r="O21" s="53" t="str">
        <f>IF($B21="","",IF($E21&lt;&gt;"Live","",IF($N21="","No stats yet",IF(ReportDate-$N21&gt;7,"Update needed",IF(AND(ISNUMBER($M21),$M21&lt;0.5),"Behind target","OK")))))</f>
        <v/>
      </c>
    </row>
    <row r="22">
      <c r="A22" s="48" t="inlineStr">
        <is>
          <t>Equinix</t>
        </is>
      </c>
      <c r="B22" s="50" t="inlineStr">
        <is>
          <t>Equinix - Content Syndication (Email)</t>
        </is>
      </c>
      <c r="C22" s="48" t="inlineStr">
        <is>
          <t>Content Syndication</t>
        </is>
      </c>
      <c r="D22" s="48" t="inlineStr">
        <is>
          <t>Richi Bagla</t>
        </is>
      </c>
      <c r="E22" s="48" t="n"/>
      <c r="F22" s="47" t="n"/>
      <c r="G22" s="47" t="n"/>
      <c r="H22" s="49" t="n">
        <v>150</v>
      </c>
      <c r="I22" s="50" t="inlineStr">
        <is>
          <t>Target: 150 form fills (Project Updates); 150 leads by Dec'26 (billing sheet).</t>
        </is>
      </c>
      <c r="J22" s="52">
        <f>IF($B22="","",SUMIFS('UPDATE STATS'!$L$5:$L$1004,'UPDATE STATS'!$C$5:$C$1004,$B22))</f>
        <v>0</v>
      </c>
      <c r="K22" s="52">
        <f>IF($B22="","",SUMIFS('UPDATE STATS'!$M$5:$M$1004,'UPDATE STATS'!$C$5:$C$1004,$B22))</f>
        <v>0</v>
      </c>
      <c r="L22" s="52">
        <f>IF($B22="","",SUMIFS('UPDATE STATS'!$J$5:$J$1004,'UPDATE STATS'!$C$5:$C$1004,$B22))</f>
        <v>0</v>
      </c>
      <c r="M22" s="54">
        <f>IF(AND(ISNUMBER($H22),$H22&gt;0,ISNUMBER($J22)),$J22/$H22,"")</f>
        <v>0</v>
      </c>
      <c r="N22" s="55" t="str">
        <f>IF($B22="","",IF(COUNTIFS('UPDATE STATS'!$C$5:$C$1004,$B22,'UPDATE STATS'!$A$5:$A$1004,"&gt;0")=0,"",_xlfn.MAXIFS('UPDATE STATS'!$A$5:$A$1004,'UPDATE STATS'!$C$5:$C$1004,$B22)))</f>
        <v/>
      </c>
      <c r="O22" s="53" t="str">
        <f>IF($B22="","",IF($E22&lt;&gt;"Live","",IF($N22="","No stats yet",IF(ReportDate-$N22&gt;7,"Update needed",IF(AND(ISNUMBER($M22),$M22&lt;0.5),"Behind target","OK")))))</f>
        <v/>
      </c>
    </row>
    <row r="23">
      <c r="A23" s="48" t="inlineStr">
        <is>
          <t>Google Chrome Enterprise</t>
        </is>
      </c>
      <c r="B23" s="50" t="inlineStr">
        <is>
          <t>Google Chrome - Content Syndication (Email)</t>
        </is>
      </c>
      <c r="C23" s="48" t="inlineStr">
        <is>
          <t>Content Syndication</t>
        </is>
      </c>
      <c r="D23" s="48" t="inlineStr">
        <is>
          <t>Riya Diwan</t>
        </is>
      </c>
      <c r="E23" s="48" t="n"/>
      <c r="F23" s="47" t="n"/>
      <c r="G23" s="47" t="n"/>
      <c r="H23" s="49" t="n"/>
      <c r="I23" s="50" t="inlineStr">
        <is>
          <t>Reporting needs: form fills, opens/clicks data.</t>
        </is>
      </c>
      <c r="J23" s="52">
        <f>IF($B23="","",SUMIFS('UPDATE STATS'!$L$5:$L$1004,'UPDATE STATS'!$C$5:$C$1004,$B23))</f>
        <v>0</v>
      </c>
      <c r="K23" s="52">
        <f>IF($B23="","",SUMIFS('UPDATE STATS'!$M$5:$M$1004,'UPDATE STATS'!$C$5:$C$1004,$B23))</f>
        <v>0</v>
      </c>
      <c r="L23" s="52">
        <f>IF($B23="","",SUMIFS('UPDATE STATS'!$J$5:$J$1004,'UPDATE STATS'!$C$5:$C$1004,$B23))</f>
        <v>0</v>
      </c>
      <c r="M23" s="54" t="str">
        <f>IF(AND(ISNUMBER($H23),$H23&gt;0,ISNUMBER($J23)),$J23/$H23,"")</f>
        <v/>
      </c>
      <c r="N23" s="55" t="str">
        <f>IF($B23="","",IF(COUNTIFS('UPDATE STATS'!$C$5:$C$1004,$B23,'UPDATE STATS'!$A$5:$A$1004,"&gt;0")=0,"",_xlfn.MAXIFS('UPDATE STATS'!$A$5:$A$1004,'UPDATE STATS'!$C$5:$C$1004,$B23)))</f>
        <v/>
      </c>
      <c r="O23" s="53" t="str">
        <f>IF($B23="","",IF($E23&lt;&gt;"Live","",IF($N23="","No stats yet",IF(ReportDate-$N23&gt;7,"Update needed",IF(AND(ISNUMBER($M23),$M23&lt;0.5),"Behind target","OK")))))</f>
        <v/>
      </c>
    </row>
    <row r="24">
      <c r="A24" s="48" t="inlineStr">
        <is>
          <t>Chola MS</t>
        </is>
      </c>
      <c r="B24" s="50" t="inlineStr">
        <is>
          <t>Chola MS - SEO &amp; Social Media</t>
        </is>
      </c>
      <c r="C24" s="48" t="inlineStr">
        <is>
          <t>Multi-channel</t>
        </is>
      </c>
      <c r="D24" s="48" t="inlineStr">
        <is>
          <t>Ayush Jain</t>
        </is>
      </c>
      <c r="E24" s="48" t="n"/>
      <c r="F24" s="47" t="n"/>
      <c r="G24" s="47" t="n"/>
      <c r="H24" s="49" t="n"/>
      <c r="I24" s="50" t="inlineStr">
        <is>
          <t>Ongoing retainer programme. Target as provided: 38-40 leads and 22 posts (Riya's sheet).</t>
        </is>
      </c>
      <c r="J24" s="52">
        <f>IF($B24="","",SUMIFS('UPDATE STATS'!$L$5:$L$1004,'UPDATE STATS'!$C$5:$C$1004,$B24))</f>
        <v>0</v>
      </c>
      <c r="K24" s="52">
        <f>IF($B24="","",SUMIFS('UPDATE STATS'!$M$5:$M$1004,'UPDATE STATS'!$C$5:$C$1004,$B24))</f>
        <v>0</v>
      </c>
      <c r="L24" s="52">
        <f>IF($B24="","",SUMIFS('UPDATE STATS'!$J$5:$J$1004,'UPDATE STATS'!$C$5:$C$1004,$B24))</f>
        <v>0</v>
      </c>
      <c r="M24" s="54" t="str">
        <f>IF(AND(ISNUMBER($H24),$H24&gt;0,ISNUMBER($J24)),$J24/$H24,"")</f>
        <v/>
      </c>
      <c r="N24" s="55" t="str">
        <f>IF($B24="","",IF(COUNTIFS('UPDATE STATS'!$C$5:$C$1004,$B24,'UPDATE STATS'!$A$5:$A$1004,"&gt;0")=0,"",_xlfn.MAXIFS('UPDATE STATS'!$A$5:$A$1004,'UPDATE STATS'!$C$5:$C$1004,$B24)))</f>
        <v/>
      </c>
      <c r="O24" s="53" t="str">
        <f>IF($B24="","",IF($E24&lt;&gt;"Live","",IF($N24="","No stats yet",IF(ReportDate-$N24&gt;7,"Update needed",IF(AND(ISNUMBER($M24),$M24&lt;0.5),"Behind target","OK")))))</f>
        <v/>
      </c>
    </row>
    <row r="25">
      <c r="A25" s="48" t="inlineStr">
        <is>
          <t>Vestrics</t>
        </is>
      </c>
      <c r="B25" s="50" t="inlineStr">
        <is>
          <t>Vestrics - SEO &amp; Social Media</t>
        </is>
      </c>
      <c r="C25" s="48" t="inlineStr">
        <is>
          <t>Multi-channel</t>
        </is>
      </c>
      <c r="D25" s="48" t="inlineStr">
        <is>
          <t>Ayush Jain</t>
        </is>
      </c>
      <c r="E25" s="48" t="n"/>
      <c r="F25" s="47" t="n"/>
      <c r="G25" s="47" t="n"/>
      <c r="H25" s="49" t="n"/>
      <c r="I25" s="50" t="inlineStr">
        <is>
          <t>Ongoing retainer programme.</t>
        </is>
      </c>
      <c r="J25" s="52">
        <f>IF($B25="","",SUMIFS('UPDATE STATS'!$L$5:$L$1004,'UPDATE STATS'!$C$5:$C$1004,$B25))</f>
        <v>0</v>
      </c>
      <c r="K25" s="52">
        <f>IF($B25="","",SUMIFS('UPDATE STATS'!$M$5:$M$1004,'UPDATE STATS'!$C$5:$C$1004,$B25))</f>
        <v>0</v>
      </c>
      <c r="L25" s="52">
        <f>IF($B25="","",SUMIFS('UPDATE STATS'!$J$5:$J$1004,'UPDATE STATS'!$C$5:$C$1004,$B25))</f>
        <v>0</v>
      </c>
      <c r="M25" s="54" t="str">
        <f>IF(AND(ISNUMBER($H25),$H25&gt;0,ISNUMBER($J25)),$J25/$H25,"")</f>
        <v/>
      </c>
      <c r="N25" s="55" t="str">
        <f>IF($B25="","",IF(COUNTIFS('UPDATE STATS'!$C$5:$C$1004,$B25,'UPDATE STATS'!$A$5:$A$1004,"&gt;0")=0,"",_xlfn.MAXIFS('UPDATE STATS'!$A$5:$A$1004,'UPDATE STATS'!$C$5:$C$1004,$B25)))</f>
        <v/>
      </c>
      <c r="O25" s="53" t="str">
        <f>IF($B25="","",IF($E25&lt;&gt;"Live","",IF($N25="","No stats yet",IF(ReportDate-$N25&gt;7,"Update needed",IF(AND(ISNUMBER($M25),$M25&lt;0.5),"Behind target","OK")))))</f>
        <v/>
      </c>
    </row>
    <row r="26">
      <c r="A26" s="48" t="inlineStr">
        <is>
          <t>Magnasoft</t>
        </is>
      </c>
      <c r="B26" s="50" t="inlineStr">
        <is>
          <t>Magnasoft - SEO &amp; Social Media</t>
        </is>
      </c>
      <c r="C26" s="48" t="inlineStr">
        <is>
          <t>Multi-channel</t>
        </is>
      </c>
      <c r="D26" s="48" t="inlineStr">
        <is>
          <t>Ayush Jain</t>
        </is>
      </c>
      <c r="E26" s="48" t="n"/>
      <c r="F26" s="47" t="n"/>
      <c r="G26" s="47" t="n"/>
      <c r="H26" s="49" t="n"/>
      <c r="I26" s="50" t="inlineStr">
        <is>
          <t>Ongoing retainer programme.</t>
        </is>
      </c>
      <c r="J26" s="52">
        <f>IF($B26="","",SUMIFS('UPDATE STATS'!$L$5:$L$1004,'UPDATE STATS'!$C$5:$C$1004,$B26))</f>
        <v>0</v>
      </c>
      <c r="K26" s="52">
        <f>IF($B26="","",SUMIFS('UPDATE STATS'!$M$5:$M$1004,'UPDATE STATS'!$C$5:$C$1004,$B26))</f>
        <v>0</v>
      </c>
      <c r="L26" s="52">
        <f>IF($B26="","",SUMIFS('UPDATE STATS'!$J$5:$J$1004,'UPDATE STATS'!$C$5:$C$1004,$B26))</f>
        <v>0</v>
      </c>
      <c r="M26" s="54" t="str">
        <f>IF(AND(ISNUMBER($H26),$H26&gt;0,ISNUMBER($J26)),$J26/$H26,"")</f>
        <v/>
      </c>
      <c r="N26" s="55" t="str">
        <f>IF($B26="","",IF(COUNTIFS('UPDATE STATS'!$C$5:$C$1004,$B26,'UPDATE STATS'!$A$5:$A$1004,"&gt;0")=0,"",_xlfn.MAXIFS('UPDATE STATS'!$A$5:$A$1004,'UPDATE STATS'!$C$5:$C$1004,$B26)))</f>
        <v/>
      </c>
      <c r="O26" s="53" t="str">
        <f>IF($B26="","",IF($E26&lt;&gt;"Live","",IF($N26="","No stats yet",IF(ReportDate-$N26&gt;7,"Update needed",IF(AND(ISNUMBER($M26),$M26&lt;0.5),"Behind target","OK")))))</f>
        <v/>
      </c>
    </row>
    <row r="27">
      <c r="A27" s="48" t="inlineStr">
        <is>
          <t>Eternelle</t>
        </is>
      </c>
      <c r="B27" s="50" t="inlineStr">
        <is>
          <t>Eternelle - SEO &amp; Blogs</t>
        </is>
      </c>
      <c r="C27" s="48" t="inlineStr">
        <is>
          <t>Multi-channel</t>
        </is>
      </c>
      <c r="D27" s="48" t="inlineStr">
        <is>
          <t>Richi Bagla</t>
        </is>
      </c>
      <c r="E27" s="48" t="n"/>
      <c r="F27" s="47" t="n"/>
      <c r="G27" s="47" t="n"/>
      <c r="H27" s="49" t="n"/>
      <c r="I27" s="50" t="inlineStr">
        <is>
          <t>Ongoing retainer programme. Target as provided: 6 blogs a month.</t>
        </is>
      </c>
      <c r="J27" s="52">
        <f>IF($B27="","",SUMIFS('UPDATE STATS'!$L$5:$L$1004,'UPDATE STATS'!$C$5:$C$1004,$B27))</f>
        <v>0</v>
      </c>
      <c r="K27" s="52">
        <f>IF($B27="","",SUMIFS('UPDATE STATS'!$M$5:$M$1004,'UPDATE STATS'!$C$5:$C$1004,$B27))</f>
        <v>0</v>
      </c>
      <c r="L27" s="52">
        <f>IF($B27="","",SUMIFS('UPDATE STATS'!$J$5:$J$1004,'UPDATE STATS'!$C$5:$C$1004,$B27))</f>
        <v>0</v>
      </c>
      <c r="M27" s="54" t="str">
        <f>IF(AND(ISNUMBER($H27),$H27&gt;0,ISNUMBER($J27)),$J27/$H27,"")</f>
        <v/>
      </c>
      <c r="N27" s="55" t="str">
        <f>IF($B27="","",IF(COUNTIFS('UPDATE STATS'!$C$5:$C$1004,$B27,'UPDATE STATS'!$A$5:$A$1004,"&gt;0")=0,"",_xlfn.MAXIFS('UPDATE STATS'!$A$5:$A$1004,'UPDATE STATS'!$C$5:$C$1004,$B27)))</f>
        <v/>
      </c>
      <c r="O27" s="53" t="str">
        <f>IF($B27="","",IF($E27&lt;&gt;"Live","",IF($N27="","No stats yet",IF(ReportDate-$N27&gt;7,"Update needed",IF(AND(ISNUMBER($M27),$M27&lt;0.5),"Behind target","OK")))))</f>
        <v/>
      </c>
    </row>
    <row r="28">
      <c r="A28" s="48" t="inlineStr">
        <is>
          <t>Lenovo</t>
        </is>
      </c>
      <c r="B28" s="50" t="inlineStr">
        <is>
          <t>Lenovo - Email Deployment</t>
        </is>
      </c>
      <c r="C28" s="48" t="inlineStr">
        <is>
          <t>Email</t>
        </is>
      </c>
      <c r="D28" s="48" t="n"/>
      <c r="E28" s="48" t="n"/>
      <c r="F28" s="47" t="n"/>
      <c r="G28" s="47" t="n"/>
      <c r="H28" s="49" t="n"/>
      <c r="I28" s="50" t="inlineStr">
        <is>
          <t>No update provided by team.</t>
        </is>
      </c>
      <c r="J28" s="52">
        <f>IF($B28="","",SUMIFS('UPDATE STATS'!$L$5:$L$1004,'UPDATE STATS'!$C$5:$C$1004,$B28))</f>
        <v>0</v>
      </c>
      <c r="K28" s="52">
        <f>IF($B28="","",SUMIFS('UPDATE STATS'!$M$5:$M$1004,'UPDATE STATS'!$C$5:$C$1004,$B28))</f>
        <v>0</v>
      </c>
      <c r="L28" s="52">
        <f>IF($B28="","",SUMIFS('UPDATE STATS'!$J$5:$J$1004,'UPDATE STATS'!$C$5:$C$1004,$B28))</f>
        <v>0</v>
      </c>
      <c r="M28" s="54" t="str">
        <f>IF(AND(ISNUMBER($H28),$H28&gt;0,ISNUMBER($J28)),$J28/$H28,"")</f>
        <v/>
      </c>
      <c r="N28" s="55" t="str">
        <f>IF($B28="","",IF(COUNTIFS('UPDATE STATS'!$C$5:$C$1004,$B28,'UPDATE STATS'!$A$5:$A$1004,"&gt;0")=0,"",_xlfn.MAXIFS('UPDATE STATS'!$A$5:$A$1004,'UPDATE STATS'!$C$5:$C$1004,$B28)))</f>
        <v/>
      </c>
      <c r="O28" s="53" t="str">
        <f>IF($B28="","",IF($E28&lt;&gt;"Live","",IF($N28="","No stats yet",IF(ReportDate-$N28&gt;7,"Update needed",IF(AND(ISNUMBER($M28),$M28&lt;0.5),"Behind target","OK")))))</f>
        <v/>
      </c>
    </row>
    <row r="29">
      <c r="A29" s="48" t="inlineStr">
        <is>
          <t>Sonalika Tractors</t>
        </is>
      </c>
      <c r="B29" s="50" t="inlineStr">
        <is>
          <t>Sonalika Tractors - Meta Automation</t>
        </is>
      </c>
      <c r="C29" s="48" t="inlineStr">
        <is>
          <t>Meta Ads</t>
        </is>
      </c>
      <c r="D29" s="48" t="n"/>
      <c r="E29" s="48" t="n"/>
      <c r="F29" s="47" t="n"/>
      <c r="G29" s="47" t="n"/>
      <c r="H29" s="49" t="n"/>
      <c r="I29" s="50" t="inlineStr">
        <is>
          <t>Proposal stage. No update provided yet.</t>
        </is>
      </c>
      <c r="J29" s="52">
        <f>IF($B29="","",SUMIFS('UPDATE STATS'!$L$5:$L$1004,'UPDATE STATS'!$C$5:$C$1004,$B29))</f>
        <v>0</v>
      </c>
      <c r="K29" s="52">
        <f>IF($B29="","",SUMIFS('UPDATE STATS'!$M$5:$M$1004,'UPDATE STATS'!$C$5:$C$1004,$B29))</f>
        <v>0</v>
      </c>
      <c r="L29" s="52">
        <f>IF($B29="","",SUMIFS('UPDATE STATS'!$J$5:$J$1004,'UPDATE STATS'!$C$5:$C$1004,$B29))</f>
        <v>0</v>
      </c>
      <c r="M29" s="54" t="str">
        <f>IF(AND(ISNUMBER($H29),$H29&gt;0,ISNUMBER($J29)),$J29/$H29,"")</f>
        <v/>
      </c>
      <c r="N29" s="55" t="str">
        <f>IF($B29="","",IF(COUNTIFS('UPDATE STATS'!$C$5:$C$1004,$B29,'UPDATE STATS'!$A$5:$A$1004,"&gt;0")=0,"",_xlfn.MAXIFS('UPDATE STATS'!$A$5:$A$1004,'UPDATE STATS'!$C$5:$C$1004,$B29)))</f>
        <v/>
      </c>
      <c r="O29" s="53" t="str">
        <f>IF($B29="","",IF($E29&lt;&gt;"Live","",IF($N29="","No stats yet",IF(ReportDate-$N29&gt;7,"Update needed",IF(AND(ISNUMBER($M29),$M29&lt;0.5),"Behind target","OK")))))</f>
        <v/>
      </c>
    </row>
    <row r="30">
      <c r="A30" s="48" t="inlineStr">
        <is>
          <t>Tata Communications MECCA</t>
        </is>
      </c>
      <c r="B30" s="50" t="inlineStr">
        <is>
          <t>Tata MECCA Campaign</t>
        </is>
      </c>
      <c r="C30" s="48" t="inlineStr">
        <is>
          <t>Multi-channel</t>
        </is>
      </c>
      <c r="D30" s="48" t="n"/>
      <c r="E30" s="48" t="n"/>
      <c r="F30" s="47" t="n"/>
      <c r="G30" s="47" t="n"/>
      <c r="H30" s="49" t="n"/>
      <c r="I30" s="50" t="inlineStr">
        <is>
          <t>Campaign listed in Team Details (Priyanshu). No other details provided.</t>
        </is>
      </c>
      <c r="J30" s="52">
        <f>IF($B30="","",SUMIFS('UPDATE STATS'!$L$5:$L$1004,'UPDATE STATS'!$C$5:$C$1004,$B30))</f>
        <v>0</v>
      </c>
      <c r="K30" s="52">
        <f>IF($B30="","",SUMIFS('UPDATE STATS'!$M$5:$M$1004,'UPDATE STATS'!$C$5:$C$1004,$B30))</f>
        <v>0</v>
      </c>
      <c r="L30" s="52">
        <f>IF($B30="","",SUMIFS('UPDATE STATS'!$J$5:$J$1004,'UPDATE STATS'!$C$5:$C$1004,$B30))</f>
        <v>0</v>
      </c>
      <c r="M30" s="54" t="str">
        <f>IF(AND(ISNUMBER($H30),$H30&gt;0,ISNUMBER($J30)),$J30/$H30,"")</f>
        <v/>
      </c>
      <c r="N30" s="55" t="str">
        <f>IF($B30="","",IF(COUNTIFS('UPDATE STATS'!$C$5:$C$1004,$B30,'UPDATE STATS'!$A$5:$A$1004,"&gt;0")=0,"",_xlfn.MAXIFS('UPDATE STATS'!$A$5:$A$1004,'UPDATE STATS'!$C$5:$C$1004,$B30)))</f>
        <v/>
      </c>
      <c r="O30" s="53" t="str">
        <f>IF($B30="","",IF($E30&lt;&gt;"Live","",IF($N30="","No stats yet",IF(ReportDate-$N30&gt;7,"Update needed",IF(AND(ISNUMBER($M30),$M30&lt;0.5),"Behind target","OK")))))</f>
        <v/>
      </c>
    </row>
    <row r="31">
      <c r="A31" s="48" t="n"/>
      <c r="B31" s="50" t="n"/>
      <c r="C31" s="48" t="n"/>
      <c r="D31" s="48" t="n"/>
      <c r="E31" s="48" t="n"/>
      <c r="F31" s="47" t="n"/>
      <c r="G31" s="47" t="n"/>
      <c r="H31" s="49" t="n"/>
      <c r="I31" s="50" t="n"/>
      <c r="J31" s="52" t="str">
        <f>IF($B31="","",SUMIFS('UPDATE STATS'!$L$5:$L$1004,'UPDATE STATS'!$C$5:$C$1004,$B31))</f>
        <v/>
      </c>
      <c r="K31" s="52" t="str">
        <f>IF($B31="","",SUMIFS('UPDATE STATS'!$M$5:$M$1004,'UPDATE STATS'!$C$5:$C$1004,$B31))</f>
        <v/>
      </c>
      <c r="L31" s="52" t="str">
        <f>IF($B31="","",SUMIFS('UPDATE STATS'!$J$5:$J$1004,'UPDATE STATS'!$C$5:$C$1004,$B31))</f>
        <v/>
      </c>
      <c r="M31" s="54" t="str">
        <f>IF(AND(ISNUMBER($H31),$H31&gt;0,ISNUMBER($J31)),$J31/$H31,"")</f>
        <v/>
      </c>
      <c r="N31" s="55" t="str">
        <f>IF($B31="","",IF(COUNTIFS('UPDATE STATS'!$C$5:$C$1004,$B31,'UPDATE STATS'!$A$5:$A$1004,"&gt;0")=0,"",_xlfn.MAXIFS('UPDATE STATS'!$A$5:$A$1004,'UPDATE STATS'!$C$5:$C$1004,$B31)))</f>
        <v/>
      </c>
      <c r="O31" s="53" t="str">
        <f>IF($B31="","",IF($E31&lt;&gt;"Live","",IF($N31="","No stats yet",IF(ReportDate-$N31&gt;7,"Update needed",IF(AND(ISNUMBER($M31),$M31&lt;0.5),"Behind target","OK")))))</f>
        <v/>
      </c>
    </row>
    <row r="32">
      <c r="A32" s="48" t="n"/>
      <c r="B32" s="50" t="n"/>
      <c r="C32" s="48" t="n"/>
      <c r="D32" s="48" t="n"/>
      <c r="E32" s="48" t="n"/>
      <c r="F32" s="47" t="n"/>
      <c r="G32" s="47" t="n"/>
      <c r="H32" s="49" t="n"/>
      <c r="I32" s="50" t="n"/>
      <c r="J32" s="52" t="str">
        <f>IF($B32="","",SUMIFS('UPDATE STATS'!$L$5:$L$1004,'UPDATE STATS'!$C$5:$C$1004,$B32))</f>
        <v/>
      </c>
      <c r="K32" s="52" t="str">
        <f>IF($B32="","",SUMIFS('UPDATE STATS'!$M$5:$M$1004,'UPDATE STATS'!$C$5:$C$1004,$B32))</f>
        <v/>
      </c>
      <c r="L32" s="52" t="str">
        <f>IF($B32="","",SUMIFS('UPDATE STATS'!$J$5:$J$1004,'UPDATE STATS'!$C$5:$C$1004,$B32))</f>
        <v/>
      </c>
      <c r="M32" s="54" t="str">
        <f>IF(AND(ISNUMBER($H32),$H32&gt;0,ISNUMBER($J32)),$J32/$H32,"")</f>
        <v/>
      </c>
      <c r="N32" s="55" t="str">
        <f>IF($B32="","",IF(COUNTIFS('UPDATE STATS'!$C$5:$C$1004,$B32,'UPDATE STATS'!$A$5:$A$1004,"&gt;0")=0,"",_xlfn.MAXIFS('UPDATE STATS'!$A$5:$A$1004,'UPDATE STATS'!$C$5:$C$1004,$B32)))</f>
        <v/>
      </c>
      <c r="O32" s="53" t="str">
        <f>IF($B32="","",IF($E32&lt;&gt;"Live","",IF($N32="","No stats yet",IF(ReportDate-$N32&gt;7,"Update needed",IF(AND(ISNUMBER($M32),$M32&lt;0.5),"Behind target","OK")))))</f>
        <v/>
      </c>
    </row>
    <row r="33">
      <c r="A33" s="48" t="n"/>
      <c r="B33" s="50" t="n"/>
      <c r="C33" s="48" t="n"/>
      <c r="D33" s="48" t="n"/>
      <c r="E33" s="48" t="n"/>
      <c r="F33" s="47" t="n"/>
      <c r="G33" s="47" t="n"/>
      <c r="H33" s="49" t="n"/>
      <c r="I33" s="50" t="n"/>
      <c r="J33" s="52" t="str">
        <f>IF($B33="","",SUMIFS('UPDATE STATS'!$L$5:$L$1004,'UPDATE STATS'!$C$5:$C$1004,$B33))</f>
        <v/>
      </c>
      <c r="K33" s="52" t="str">
        <f>IF($B33="","",SUMIFS('UPDATE STATS'!$M$5:$M$1004,'UPDATE STATS'!$C$5:$C$1004,$B33))</f>
        <v/>
      </c>
      <c r="L33" s="52" t="str">
        <f>IF($B33="","",SUMIFS('UPDATE STATS'!$J$5:$J$1004,'UPDATE STATS'!$C$5:$C$1004,$B33))</f>
        <v/>
      </c>
      <c r="M33" s="54" t="str">
        <f>IF(AND(ISNUMBER($H33),$H33&gt;0,ISNUMBER($J33)),$J33/$H33,"")</f>
        <v/>
      </c>
      <c r="N33" s="55" t="str">
        <f>IF($B33="","",IF(COUNTIFS('UPDATE STATS'!$C$5:$C$1004,$B33,'UPDATE STATS'!$A$5:$A$1004,"&gt;0")=0,"",_xlfn.MAXIFS('UPDATE STATS'!$A$5:$A$1004,'UPDATE STATS'!$C$5:$C$1004,$B33)))</f>
        <v/>
      </c>
      <c r="O33" s="53" t="str">
        <f>IF($B33="","",IF($E33&lt;&gt;"Live","",IF($N33="","No stats yet",IF(ReportDate-$N33&gt;7,"Update needed",IF(AND(ISNUMBER($M33),$M33&lt;0.5),"Behind target","OK")))))</f>
        <v/>
      </c>
    </row>
    <row r="34">
      <c r="A34" s="48" t="n"/>
      <c r="B34" s="50" t="n"/>
      <c r="C34" s="48" t="n"/>
      <c r="D34" s="48" t="n"/>
      <c r="E34" s="48" t="n"/>
      <c r="F34" s="47" t="n"/>
      <c r="G34" s="47" t="n"/>
      <c r="H34" s="49" t="n"/>
      <c r="I34" s="50" t="n"/>
      <c r="J34" s="52" t="str">
        <f>IF($B34="","",SUMIFS('UPDATE STATS'!$L$5:$L$1004,'UPDATE STATS'!$C$5:$C$1004,$B34))</f>
        <v/>
      </c>
      <c r="K34" s="52" t="str">
        <f>IF($B34="","",SUMIFS('UPDATE STATS'!$M$5:$M$1004,'UPDATE STATS'!$C$5:$C$1004,$B34))</f>
        <v/>
      </c>
      <c r="L34" s="52" t="str">
        <f>IF($B34="","",SUMIFS('UPDATE STATS'!$J$5:$J$1004,'UPDATE STATS'!$C$5:$C$1004,$B34))</f>
        <v/>
      </c>
      <c r="M34" s="54" t="str">
        <f>IF(AND(ISNUMBER($H34),$H34&gt;0,ISNUMBER($J34)),$J34/$H34,"")</f>
        <v/>
      </c>
      <c r="N34" s="55" t="str">
        <f>IF($B34="","",IF(COUNTIFS('UPDATE STATS'!$C$5:$C$1004,$B34,'UPDATE STATS'!$A$5:$A$1004,"&gt;0")=0,"",_xlfn.MAXIFS('UPDATE STATS'!$A$5:$A$1004,'UPDATE STATS'!$C$5:$C$1004,$B34)))</f>
        <v/>
      </c>
      <c r="O34" s="53" t="str">
        <f>IF($B34="","",IF($E34&lt;&gt;"Live","",IF($N34="","No stats yet",IF(ReportDate-$N34&gt;7,"Update needed",IF(AND(ISNUMBER($M34),$M34&lt;0.5),"Behind target","OK")))))</f>
        <v/>
      </c>
    </row>
    <row r="35">
      <c r="A35" s="48" t="n"/>
      <c r="B35" s="50" t="n"/>
      <c r="C35" s="48" t="n"/>
      <c r="D35" s="48" t="n"/>
      <c r="E35" s="48" t="n"/>
      <c r="F35" s="47" t="n"/>
      <c r="G35" s="47" t="n"/>
      <c r="H35" s="49" t="n"/>
      <c r="I35" s="50" t="n"/>
      <c r="J35" s="52" t="str">
        <f>IF($B35="","",SUMIFS('UPDATE STATS'!$L$5:$L$1004,'UPDATE STATS'!$C$5:$C$1004,$B35))</f>
        <v/>
      </c>
      <c r="K35" s="52" t="str">
        <f>IF($B35="","",SUMIFS('UPDATE STATS'!$M$5:$M$1004,'UPDATE STATS'!$C$5:$C$1004,$B35))</f>
        <v/>
      </c>
      <c r="L35" s="52" t="str">
        <f>IF($B35="","",SUMIFS('UPDATE STATS'!$J$5:$J$1004,'UPDATE STATS'!$C$5:$C$1004,$B35))</f>
        <v/>
      </c>
      <c r="M35" s="54" t="str">
        <f>IF(AND(ISNUMBER($H35),$H35&gt;0,ISNUMBER($J35)),$J35/$H35,"")</f>
        <v/>
      </c>
      <c r="N35" s="55" t="str">
        <f>IF($B35="","",IF(COUNTIFS('UPDATE STATS'!$C$5:$C$1004,$B35,'UPDATE STATS'!$A$5:$A$1004,"&gt;0")=0,"",_xlfn.MAXIFS('UPDATE STATS'!$A$5:$A$1004,'UPDATE STATS'!$C$5:$C$1004,$B35)))</f>
        <v/>
      </c>
      <c r="O35" s="53" t="str">
        <f>IF($B35="","",IF($E35&lt;&gt;"Live","",IF($N35="","No stats yet",IF(ReportDate-$N35&gt;7,"Update needed",IF(AND(ISNUMBER($M35),$M35&lt;0.5),"Behind target","OK")))))</f>
        <v/>
      </c>
    </row>
    <row r="36">
      <c r="A36" s="48" t="n"/>
      <c r="B36" s="50" t="n"/>
      <c r="C36" s="48" t="n"/>
      <c r="D36" s="48" t="n"/>
      <c r="E36" s="48" t="n"/>
      <c r="F36" s="47" t="n"/>
      <c r="G36" s="47" t="n"/>
      <c r="H36" s="49" t="n"/>
      <c r="I36" s="50" t="n"/>
      <c r="J36" s="52" t="str">
        <f>IF($B36="","",SUMIFS('UPDATE STATS'!$L$5:$L$1004,'UPDATE STATS'!$C$5:$C$1004,$B36))</f>
        <v/>
      </c>
      <c r="K36" s="52" t="str">
        <f>IF($B36="","",SUMIFS('UPDATE STATS'!$M$5:$M$1004,'UPDATE STATS'!$C$5:$C$1004,$B36))</f>
        <v/>
      </c>
      <c r="L36" s="52" t="str">
        <f>IF($B36="","",SUMIFS('UPDATE STATS'!$J$5:$J$1004,'UPDATE STATS'!$C$5:$C$1004,$B36))</f>
        <v/>
      </c>
      <c r="M36" s="54" t="str">
        <f>IF(AND(ISNUMBER($H36),$H36&gt;0,ISNUMBER($J36)),$J36/$H36,"")</f>
        <v/>
      </c>
      <c r="N36" s="55" t="str">
        <f>IF($B36="","",IF(COUNTIFS('UPDATE STATS'!$C$5:$C$1004,$B36,'UPDATE STATS'!$A$5:$A$1004,"&gt;0")=0,"",_xlfn.MAXIFS('UPDATE STATS'!$A$5:$A$1004,'UPDATE STATS'!$C$5:$C$1004,$B36)))</f>
        <v/>
      </c>
      <c r="O36" s="53" t="str">
        <f>IF($B36="","",IF($E36&lt;&gt;"Live","",IF($N36="","No stats yet",IF(ReportDate-$N36&gt;7,"Update needed",IF(AND(ISNUMBER($M36),$M36&lt;0.5),"Behind target","OK")))))</f>
        <v/>
      </c>
    </row>
    <row r="37">
      <c r="A37" s="48" t="n"/>
      <c r="B37" s="50" t="n"/>
      <c r="C37" s="48" t="n"/>
      <c r="D37" s="48" t="n"/>
      <c r="E37" s="48" t="n"/>
      <c r="F37" s="47" t="n"/>
      <c r="G37" s="47" t="n"/>
      <c r="H37" s="49" t="n"/>
      <c r="I37" s="50" t="n"/>
      <c r="J37" s="52" t="str">
        <f>IF($B37="","",SUMIFS('UPDATE STATS'!$L$5:$L$1004,'UPDATE STATS'!$C$5:$C$1004,$B37))</f>
        <v/>
      </c>
      <c r="K37" s="52" t="str">
        <f>IF($B37="","",SUMIFS('UPDATE STATS'!$M$5:$M$1004,'UPDATE STATS'!$C$5:$C$1004,$B37))</f>
        <v/>
      </c>
      <c r="L37" s="52" t="str">
        <f>IF($B37="","",SUMIFS('UPDATE STATS'!$J$5:$J$1004,'UPDATE STATS'!$C$5:$C$1004,$B37))</f>
        <v/>
      </c>
      <c r="M37" s="54" t="str">
        <f>IF(AND(ISNUMBER($H37),$H37&gt;0,ISNUMBER($J37)),$J37/$H37,"")</f>
        <v/>
      </c>
      <c r="N37" s="55" t="str">
        <f>IF($B37="","",IF(COUNTIFS('UPDATE STATS'!$C$5:$C$1004,$B37,'UPDATE STATS'!$A$5:$A$1004,"&gt;0")=0,"",_xlfn.MAXIFS('UPDATE STATS'!$A$5:$A$1004,'UPDATE STATS'!$C$5:$C$1004,$B37)))</f>
        <v/>
      </c>
      <c r="O37" s="53" t="str">
        <f>IF($B37="","",IF($E37&lt;&gt;"Live","",IF($N37="","No stats yet",IF(ReportDate-$N37&gt;7,"Update needed",IF(AND(ISNUMBER($M37),$M37&lt;0.5),"Behind target","OK")))))</f>
        <v/>
      </c>
    </row>
    <row r="38">
      <c r="A38" s="48" t="n"/>
      <c r="B38" s="50" t="n"/>
      <c r="C38" s="48" t="n"/>
      <c r="D38" s="48" t="n"/>
      <c r="E38" s="48" t="n"/>
      <c r="F38" s="47" t="n"/>
      <c r="G38" s="47" t="n"/>
      <c r="H38" s="49" t="n"/>
      <c r="I38" s="50" t="n"/>
      <c r="J38" s="52" t="str">
        <f>IF($B38="","",SUMIFS('UPDATE STATS'!$L$5:$L$1004,'UPDATE STATS'!$C$5:$C$1004,$B38))</f>
        <v/>
      </c>
      <c r="K38" s="52" t="str">
        <f>IF($B38="","",SUMIFS('UPDATE STATS'!$M$5:$M$1004,'UPDATE STATS'!$C$5:$C$1004,$B38))</f>
        <v/>
      </c>
      <c r="L38" s="52" t="str">
        <f>IF($B38="","",SUMIFS('UPDATE STATS'!$J$5:$J$1004,'UPDATE STATS'!$C$5:$C$1004,$B38))</f>
        <v/>
      </c>
      <c r="M38" s="54" t="str">
        <f>IF(AND(ISNUMBER($H38),$H38&gt;0,ISNUMBER($J38)),$J38/$H38,"")</f>
        <v/>
      </c>
      <c r="N38" s="55" t="str">
        <f>IF($B38="","",IF(COUNTIFS('UPDATE STATS'!$C$5:$C$1004,$B38,'UPDATE STATS'!$A$5:$A$1004,"&gt;0")=0,"",_xlfn.MAXIFS('UPDATE STATS'!$A$5:$A$1004,'UPDATE STATS'!$C$5:$C$1004,$B38)))</f>
        <v/>
      </c>
      <c r="O38" s="53" t="str">
        <f>IF($B38="","",IF($E38&lt;&gt;"Live","",IF($N38="","No stats yet",IF(ReportDate-$N38&gt;7,"Update needed",IF(AND(ISNUMBER($M38),$M38&lt;0.5),"Behind target","OK")))))</f>
        <v/>
      </c>
    </row>
    <row r="39">
      <c r="A39" s="48" t="n"/>
      <c r="B39" s="50" t="n"/>
      <c r="C39" s="48" t="n"/>
      <c r="D39" s="48" t="n"/>
      <c r="E39" s="48" t="n"/>
      <c r="F39" s="47" t="n"/>
      <c r="G39" s="47" t="n"/>
      <c r="H39" s="49" t="n"/>
      <c r="I39" s="50" t="n"/>
      <c r="J39" s="52" t="str">
        <f>IF($B39="","",SUMIFS('UPDATE STATS'!$L$5:$L$1004,'UPDATE STATS'!$C$5:$C$1004,$B39))</f>
        <v/>
      </c>
      <c r="K39" s="52" t="str">
        <f>IF($B39="","",SUMIFS('UPDATE STATS'!$M$5:$M$1004,'UPDATE STATS'!$C$5:$C$1004,$B39))</f>
        <v/>
      </c>
      <c r="L39" s="52" t="str">
        <f>IF($B39="","",SUMIFS('UPDATE STATS'!$J$5:$J$1004,'UPDATE STATS'!$C$5:$C$1004,$B39))</f>
        <v/>
      </c>
      <c r="M39" s="54" t="str">
        <f>IF(AND(ISNUMBER($H39),$H39&gt;0,ISNUMBER($J39)),$J39/$H39,"")</f>
        <v/>
      </c>
      <c r="N39" s="55" t="str">
        <f>IF($B39="","",IF(COUNTIFS('UPDATE STATS'!$C$5:$C$1004,$B39,'UPDATE STATS'!$A$5:$A$1004,"&gt;0")=0,"",_xlfn.MAXIFS('UPDATE STATS'!$A$5:$A$1004,'UPDATE STATS'!$C$5:$C$1004,$B39)))</f>
        <v/>
      </c>
      <c r="O39" s="53" t="str">
        <f>IF($B39="","",IF($E39&lt;&gt;"Live","",IF($N39="","No stats yet",IF(ReportDate-$N39&gt;7,"Update needed",IF(AND(ISNUMBER($M39),$M39&lt;0.5),"Behind target","OK")))))</f>
        <v/>
      </c>
    </row>
    <row r="40">
      <c r="A40" s="48" t="n"/>
      <c r="B40" s="50" t="n"/>
      <c r="C40" s="48" t="n"/>
      <c r="D40" s="48" t="n"/>
      <c r="E40" s="48" t="n"/>
      <c r="F40" s="47" t="n"/>
      <c r="G40" s="47" t="n"/>
      <c r="H40" s="49" t="n"/>
      <c r="I40" s="50" t="n"/>
      <c r="J40" s="52" t="str">
        <f>IF($B40="","",SUMIFS('UPDATE STATS'!$L$5:$L$1004,'UPDATE STATS'!$C$5:$C$1004,$B40))</f>
        <v/>
      </c>
      <c r="K40" s="52" t="str">
        <f>IF($B40="","",SUMIFS('UPDATE STATS'!$M$5:$M$1004,'UPDATE STATS'!$C$5:$C$1004,$B40))</f>
        <v/>
      </c>
      <c r="L40" s="52" t="str">
        <f>IF($B40="","",SUMIFS('UPDATE STATS'!$J$5:$J$1004,'UPDATE STATS'!$C$5:$C$1004,$B40))</f>
        <v/>
      </c>
      <c r="M40" s="54" t="str">
        <f>IF(AND(ISNUMBER($H40),$H40&gt;0,ISNUMBER($J40)),$J40/$H40,"")</f>
        <v/>
      </c>
      <c r="N40" s="55" t="str">
        <f>IF($B40="","",IF(COUNTIFS('UPDATE STATS'!$C$5:$C$1004,$B40,'UPDATE STATS'!$A$5:$A$1004,"&gt;0")=0,"",_xlfn.MAXIFS('UPDATE STATS'!$A$5:$A$1004,'UPDATE STATS'!$C$5:$C$1004,$B40)))</f>
        <v/>
      </c>
      <c r="O40" s="53" t="str">
        <f>IF($B40="","",IF($E40&lt;&gt;"Live","",IF($N40="","No stats yet",IF(ReportDate-$N40&gt;7,"Update needed",IF(AND(ISNUMBER($M40),$M40&lt;0.5),"Behind target","OK")))))</f>
        <v/>
      </c>
    </row>
    <row r="41">
      <c r="A41" s="48" t="n"/>
      <c r="B41" s="50" t="n"/>
      <c r="C41" s="48" t="n"/>
      <c r="D41" s="48" t="n"/>
      <c r="E41" s="48" t="n"/>
      <c r="F41" s="47" t="n"/>
      <c r="G41" s="47" t="n"/>
      <c r="H41" s="49" t="n"/>
      <c r="I41" s="50" t="n"/>
      <c r="J41" s="52" t="str">
        <f>IF($B41="","",SUMIFS('UPDATE STATS'!$L$5:$L$1004,'UPDATE STATS'!$C$5:$C$1004,$B41))</f>
        <v/>
      </c>
      <c r="K41" s="52" t="str">
        <f>IF($B41="","",SUMIFS('UPDATE STATS'!$M$5:$M$1004,'UPDATE STATS'!$C$5:$C$1004,$B41))</f>
        <v/>
      </c>
      <c r="L41" s="52" t="str">
        <f>IF($B41="","",SUMIFS('UPDATE STATS'!$J$5:$J$1004,'UPDATE STATS'!$C$5:$C$1004,$B41))</f>
        <v/>
      </c>
      <c r="M41" s="54" t="str">
        <f>IF(AND(ISNUMBER($H41),$H41&gt;0,ISNUMBER($J41)),$J41/$H41,"")</f>
        <v/>
      </c>
      <c r="N41" s="55" t="str">
        <f>IF($B41="","",IF(COUNTIFS('UPDATE STATS'!$C$5:$C$1004,$B41,'UPDATE STATS'!$A$5:$A$1004,"&gt;0")=0,"",_xlfn.MAXIFS('UPDATE STATS'!$A$5:$A$1004,'UPDATE STATS'!$C$5:$C$1004,$B41)))</f>
        <v/>
      </c>
      <c r="O41" s="53" t="str">
        <f>IF($B41="","",IF($E41&lt;&gt;"Live","",IF($N41="","No stats yet",IF(ReportDate-$N41&gt;7,"Update needed",IF(AND(ISNUMBER($M41),$M41&lt;0.5),"Behind target","OK")))))</f>
        <v/>
      </c>
    </row>
    <row r="42">
      <c r="A42" s="48" t="n"/>
      <c r="B42" s="50" t="n"/>
      <c r="C42" s="48" t="n"/>
      <c r="D42" s="48" t="n"/>
      <c r="E42" s="48" t="n"/>
      <c r="F42" s="47" t="n"/>
      <c r="G42" s="47" t="n"/>
      <c r="H42" s="49" t="n"/>
      <c r="I42" s="50" t="n"/>
      <c r="J42" s="52" t="str">
        <f>IF($B42="","",SUMIFS('UPDATE STATS'!$L$5:$L$1004,'UPDATE STATS'!$C$5:$C$1004,$B42))</f>
        <v/>
      </c>
      <c r="K42" s="52" t="str">
        <f>IF($B42="","",SUMIFS('UPDATE STATS'!$M$5:$M$1004,'UPDATE STATS'!$C$5:$C$1004,$B42))</f>
        <v/>
      </c>
      <c r="L42" s="52" t="str">
        <f>IF($B42="","",SUMIFS('UPDATE STATS'!$J$5:$J$1004,'UPDATE STATS'!$C$5:$C$1004,$B42))</f>
        <v/>
      </c>
      <c r="M42" s="54" t="str">
        <f>IF(AND(ISNUMBER($H42),$H42&gt;0,ISNUMBER($J42)),$J42/$H42,"")</f>
        <v/>
      </c>
      <c r="N42" s="55" t="str">
        <f>IF($B42="","",IF(COUNTIFS('UPDATE STATS'!$C$5:$C$1004,$B42,'UPDATE STATS'!$A$5:$A$1004,"&gt;0")=0,"",_xlfn.MAXIFS('UPDATE STATS'!$A$5:$A$1004,'UPDATE STATS'!$C$5:$C$1004,$B42)))</f>
        <v/>
      </c>
      <c r="O42" s="53" t="str">
        <f>IF($B42="","",IF($E42&lt;&gt;"Live","",IF($N42="","No stats yet",IF(ReportDate-$N42&gt;7,"Update needed",IF(AND(ISNUMBER($M42),$M42&lt;0.5),"Behind target","OK")))))</f>
        <v/>
      </c>
    </row>
    <row r="43">
      <c r="A43" s="48" t="n"/>
      <c r="B43" s="50" t="n"/>
      <c r="C43" s="48" t="n"/>
      <c r="D43" s="48" t="n"/>
      <c r="E43" s="48" t="n"/>
      <c r="F43" s="47" t="n"/>
      <c r="G43" s="47" t="n"/>
      <c r="H43" s="49" t="n"/>
      <c r="I43" s="50" t="n"/>
      <c r="J43" s="52" t="str">
        <f>IF($B43="","",SUMIFS('UPDATE STATS'!$L$5:$L$1004,'UPDATE STATS'!$C$5:$C$1004,$B43))</f>
        <v/>
      </c>
      <c r="K43" s="52" t="str">
        <f>IF($B43="","",SUMIFS('UPDATE STATS'!$M$5:$M$1004,'UPDATE STATS'!$C$5:$C$1004,$B43))</f>
        <v/>
      </c>
      <c r="L43" s="52" t="str">
        <f>IF($B43="","",SUMIFS('UPDATE STATS'!$J$5:$J$1004,'UPDATE STATS'!$C$5:$C$1004,$B43))</f>
        <v/>
      </c>
      <c r="M43" s="54" t="str">
        <f>IF(AND(ISNUMBER($H43),$H43&gt;0,ISNUMBER($J43)),$J43/$H43,"")</f>
        <v/>
      </c>
      <c r="N43" s="55" t="str">
        <f>IF($B43="","",IF(COUNTIFS('UPDATE STATS'!$C$5:$C$1004,$B43,'UPDATE STATS'!$A$5:$A$1004,"&gt;0")=0,"",_xlfn.MAXIFS('UPDATE STATS'!$A$5:$A$1004,'UPDATE STATS'!$C$5:$C$1004,$B43)))</f>
        <v/>
      </c>
      <c r="O43" s="53" t="str">
        <f>IF($B43="","",IF($E43&lt;&gt;"Live","",IF($N43="","No stats yet",IF(ReportDate-$N43&gt;7,"Update needed",IF(AND(ISNUMBER($M43),$M43&lt;0.5),"Behind target","OK")))))</f>
        <v/>
      </c>
    </row>
    <row r="44">
      <c r="A44" s="48" t="n"/>
      <c r="B44" s="50" t="n"/>
      <c r="C44" s="48" t="n"/>
      <c r="D44" s="48" t="n"/>
      <c r="E44" s="48" t="n"/>
      <c r="F44" s="47" t="n"/>
      <c r="G44" s="47" t="n"/>
      <c r="H44" s="49" t="n"/>
      <c r="I44" s="50" t="n"/>
      <c r="J44" s="52" t="str">
        <f>IF($B44="","",SUMIFS('UPDATE STATS'!$L$5:$L$1004,'UPDATE STATS'!$C$5:$C$1004,$B44))</f>
        <v/>
      </c>
      <c r="K44" s="52" t="str">
        <f>IF($B44="","",SUMIFS('UPDATE STATS'!$M$5:$M$1004,'UPDATE STATS'!$C$5:$C$1004,$B44))</f>
        <v/>
      </c>
      <c r="L44" s="52" t="str">
        <f>IF($B44="","",SUMIFS('UPDATE STATS'!$J$5:$J$1004,'UPDATE STATS'!$C$5:$C$1004,$B44))</f>
        <v/>
      </c>
      <c r="M44" s="54" t="str">
        <f>IF(AND(ISNUMBER($H44),$H44&gt;0,ISNUMBER($J44)),$J44/$H44,"")</f>
        <v/>
      </c>
      <c r="N44" s="55" t="str">
        <f>IF($B44="","",IF(COUNTIFS('UPDATE STATS'!$C$5:$C$1004,$B44,'UPDATE STATS'!$A$5:$A$1004,"&gt;0")=0,"",_xlfn.MAXIFS('UPDATE STATS'!$A$5:$A$1004,'UPDATE STATS'!$C$5:$C$1004,$B44)))</f>
        <v/>
      </c>
      <c r="O44" s="53" t="str">
        <f>IF($B44="","",IF($E44&lt;&gt;"Live","",IF($N44="","No stats yet",IF(ReportDate-$N44&gt;7,"Update needed",IF(AND(ISNUMBER($M44),$M44&lt;0.5),"Behind target","OK")))))</f>
        <v/>
      </c>
    </row>
    <row r="45">
      <c r="A45" s="48" t="n"/>
      <c r="B45" s="50" t="n"/>
      <c r="C45" s="48" t="n"/>
      <c r="D45" s="48" t="n"/>
      <c r="E45" s="48" t="n"/>
      <c r="F45" s="47" t="n"/>
      <c r="G45" s="47" t="n"/>
      <c r="H45" s="49" t="n"/>
      <c r="I45" s="50" t="n"/>
      <c r="J45" s="52" t="str">
        <f>IF($B45="","",SUMIFS('UPDATE STATS'!$L$5:$L$1004,'UPDATE STATS'!$C$5:$C$1004,$B45))</f>
        <v/>
      </c>
      <c r="K45" s="52" t="str">
        <f>IF($B45="","",SUMIFS('UPDATE STATS'!$M$5:$M$1004,'UPDATE STATS'!$C$5:$C$1004,$B45))</f>
        <v/>
      </c>
      <c r="L45" s="52" t="str">
        <f>IF($B45="","",SUMIFS('UPDATE STATS'!$J$5:$J$1004,'UPDATE STATS'!$C$5:$C$1004,$B45))</f>
        <v/>
      </c>
      <c r="M45" s="54" t="str">
        <f>IF(AND(ISNUMBER($H45),$H45&gt;0,ISNUMBER($J45)),$J45/$H45,"")</f>
        <v/>
      </c>
      <c r="N45" s="55" t="str">
        <f>IF($B45="","",IF(COUNTIFS('UPDATE STATS'!$C$5:$C$1004,$B45,'UPDATE STATS'!$A$5:$A$1004,"&gt;0")=0,"",_xlfn.MAXIFS('UPDATE STATS'!$A$5:$A$1004,'UPDATE STATS'!$C$5:$C$1004,$B45)))</f>
        <v/>
      </c>
      <c r="O45" s="53" t="str">
        <f>IF($B45="","",IF($E45&lt;&gt;"Live","",IF($N45="","No stats yet",IF(ReportDate-$N45&gt;7,"Update needed",IF(AND(ISNUMBER($M45),$M45&lt;0.5),"Behind target","OK")))))</f>
        <v/>
      </c>
    </row>
    <row r="46">
      <c r="A46" s="48" t="n"/>
      <c r="B46" s="50" t="n"/>
      <c r="C46" s="48" t="n"/>
      <c r="D46" s="48" t="n"/>
      <c r="E46" s="48" t="n"/>
      <c r="F46" s="47" t="n"/>
      <c r="G46" s="47" t="n"/>
      <c r="H46" s="49" t="n"/>
      <c r="I46" s="50" t="n"/>
      <c r="J46" s="52" t="str">
        <f>IF($B46="","",SUMIFS('UPDATE STATS'!$L$5:$L$1004,'UPDATE STATS'!$C$5:$C$1004,$B46))</f>
        <v/>
      </c>
      <c r="K46" s="52" t="str">
        <f>IF($B46="","",SUMIFS('UPDATE STATS'!$M$5:$M$1004,'UPDATE STATS'!$C$5:$C$1004,$B46))</f>
        <v/>
      </c>
      <c r="L46" s="52" t="str">
        <f>IF($B46="","",SUMIFS('UPDATE STATS'!$J$5:$J$1004,'UPDATE STATS'!$C$5:$C$1004,$B46))</f>
        <v/>
      </c>
      <c r="M46" s="54" t="str">
        <f>IF(AND(ISNUMBER($H46),$H46&gt;0,ISNUMBER($J46)),$J46/$H46,"")</f>
        <v/>
      </c>
      <c r="N46" s="55" t="str">
        <f>IF($B46="","",IF(COUNTIFS('UPDATE STATS'!$C$5:$C$1004,$B46,'UPDATE STATS'!$A$5:$A$1004,"&gt;0")=0,"",_xlfn.MAXIFS('UPDATE STATS'!$A$5:$A$1004,'UPDATE STATS'!$C$5:$C$1004,$B46)))</f>
        <v/>
      </c>
      <c r="O46" s="53" t="str">
        <f>IF($B46="","",IF($E46&lt;&gt;"Live","",IF($N46="","No stats yet",IF(ReportDate-$N46&gt;7,"Update needed",IF(AND(ISNUMBER($M46),$M46&lt;0.5),"Behind target","OK")))))</f>
        <v/>
      </c>
    </row>
    <row r="47">
      <c r="A47" s="48" t="n"/>
      <c r="B47" s="50" t="n"/>
      <c r="C47" s="48" t="n"/>
      <c r="D47" s="48" t="n"/>
      <c r="E47" s="48" t="n"/>
      <c r="F47" s="47" t="n"/>
      <c r="G47" s="47" t="n"/>
      <c r="H47" s="49" t="n"/>
      <c r="I47" s="50" t="n"/>
      <c r="J47" s="52" t="str">
        <f>IF($B47="","",SUMIFS('UPDATE STATS'!$L$5:$L$1004,'UPDATE STATS'!$C$5:$C$1004,$B47))</f>
        <v/>
      </c>
      <c r="K47" s="52" t="str">
        <f>IF($B47="","",SUMIFS('UPDATE STATS'!$M$5:$M$1004,'UPDATE STATS'!$C$5:$C$1004,$B47))</f>
        <v/>
      </c>
      <c r="L47" s="52" t="str">
        <f>IF($B47="","",SUMIFS('UPDATE STATS'!$J$5:$J$1004,'UPDATE STATS'!$C$5:$C$1004,$B47))</f>
        <v/>
      </c>
      <c r="M47" s="54" t="str">
        <f>IF(AND(ISNUMBER($H47),$H47&gt;0,ISNUMBER($J47)),$J47/$H47,"")</f>
        <v/>
      </c>
      <c r="N47" s="55" t="str">
        <f>IF($B47="","",IF(COUNTIFS('UPDATE STATS'!$C$5:$C$1004,$B47,'UPDATE STATS'!$A$5:$A$1004,"&gt;0")=0,"",_xlfn.MAXIFS('UPDATE STATS'!$A$5:$A$1004,'UPDATE STATS'!$C$5:$C$1004,$B47)))</f>
        <v/>
      </c>
      <c r="O47" s="53" t="str">
        <f>IF($B47="","",IF($E47&lt;&gt;"Live","",IF($N47="","No stats yet",IF(ReportDate-$N47&gt;7,"Update needed",IF(AND(ISNUMBER($M47),$M47&lt;0.5),"Behind target","OK")))))</f>
        <v/>
      </c>
    </row>
    <row r="48">
      <c r="A48" s="48" t="n"/>
      <c r="B48" s="50" t="n"/>
      <c r="C48" s="48" t="n"/>
      <c r="D48" s="48" t="n"/>
      <c r="E48" s="48" t="n"/>
      <c r="F48" s="47" t="n"/>
      <c r="G48" s="47" t="n"/>
      <c r="H48" s="49" t="n"/>
      <c r="I48" s="50" t="n"/>
      <c r="J48" s="52" t="str">
        <f>IF($B48="","",SUMIFS('UPDATE STATS'!$L$5:$L$1004,'UPDATE STATS'!$C$5:$C$1004,$B48))</f>
        <v/>
      </c>
      <c r="K48" s="52" t="str">
        <f>IF($B48="","",SUMIFS('UPDATE STATS'!$M$5:$M$1004,'UPDATE STATS'!$C$5:$C$1004,$B48))</f>
        <v/>
      </c>
      <c r="L48" s="52" t="str">
        <f>IF($B48="","",SUMIFS('UPDATE STATS'!$J$5:$J$1004,'UPDATE STATS'!$C$5:$C$1004,$B48))</f>
        <v/>
      </c>
      <c r="M48" s="54" t="str">
        <f>IF(AND(ISNUMBER($H48),$H48&gt;0,ISNUMBER($J48)),$J48/$H48,"")</f>
        <v/>
      </c>
      <c r="N48" s="55" t="str">
        <f>IF($B48="","",IF(COUNTIFS('UPDATE STATS'!$C$5:$C$1004,$B48,'UPDATE STATS'!$A$5:$A$1004,"&gt;0")=0,"",_xlfn.MAXIFS('UPDATE STATS'!$A$5:$A$1004,'UPDATE STATS'!$C$5:$C$1004,$B48)))</f>
        <v/>
      </c>
      <c r="O48" s="53" t="str">
        <f>IF($B48="","",IF($E48&lt;&gt;"Live","",IF($N48="","No stats yet",IF(ReportDate-$N48&gt;7,"Update needed",IF(AND(ISNUMBER($M48),$M48&lt;0.5),"Behind target","OK")))))</f>
        <v/>
      </c>
    </row>
    <row r="49">
      <c r="A49" s="48" t="n"/>
      <c r="B49" s="50" t="n"/>
      <c r="C49" s="48" t="n"/>
      <c r="D49" s="48" t="n"/>
      <c r="E49" s="48" t="n"/>
      <c r="F49" s="47" t="n"/>
      <c r="G49" s="47" t="n"/>
      <c r="H49" s="49" t="n"/>
      <c r="I49" s="50" t="n"/>
      <c r="J49" s="52" t="str">
        <f>IF($B49="","",SUMIFS('UPDATE STATS'!$L$5:$L$1004,'UPDATE STATS'!$C$5:$C$1004,$B49))</f>
        <v/>
      </c>
      <c r="K49" s="52" t="str">
        <f>IF($B49="","",SUMIFS('UPDATE STATS'!$M$5:$M$1004,'UPDATE STATS'!$C$5:$C$1004,$B49))</f>
        <v/>
      </c>
      <c r="L49" s="52" t="str">
        <f>IF($B49="","",SUMIFS('UPDATE STATS'!$J$5:$J$1004,'UPDATE STATS'!$C$5:$C$1004,$B49))</f>
        <v/>
      </c>
      <c r="M49" s="54" t="str">
        <f>IF(AND(ISNUMBER($H49),$H49&gt;0,ISNUMBER($J49)),$J49/$H49,"")</f>
        <v/>
      </c>
      <c r="N49" s="55" t="str">
        <f>IF($B49="","",IF(COUNTIFS('UPDATE STATS'!$C$5:$C$1004,$B49,'UPDATE STATS'!$A$5:$A$1004,"&gt;0")=0,"",_xlfn.MAXIFS('UPDATE STATS'!$A$5:$A$1004,'UPDATE STATS'!$C$5:$C$1004,$B49)))</f>
        <v/>
      </c>
      <c r="O49" s="53" t="str">
        <f>IF($B49="","",IF($E49&lt;&gt;"Live","",IF($N49="","No stats yet",IF(ReportDate-$N49&gt;7,"Update needed",IF(AND(ISNUMBER($M49),$M49&lt;0.5),"Behind target","OK")))))</f>
        <v/>
      </c>
    </row>
    <row r="50">
      <c r="A50" s="48" t="n"/>
      <c r="B50" s="50" t="n"/>
      <c r="C50" s="48" t="n"/>
      <c r="D50" s="48" t="n"/>
      <c r="E50" s="48" t="n"/>
      <c r="F50" s="47" t="n"/>
      <c r="G50" s="47" t="n"/>
      <c r="H50" s="49" t="n"/>
      <c r="I50" s="50" t="n"/>
      <c r="J50" s="52" t="str">
        <f>IF($B50="","",SUMIFS('UPDATE STATS'!$L$5:$L$1004,'UPDATE STATS'!$C$5:$C$1004,$B50))</f>
        <v/>
      </c>
      <c r="K50" s="52" t="str">
        <f>IF($B50="","",SUMIFS('UPDATE STATS'!$M$5:$M$1004,'UPDATE STATS'!$C$5:$C$1004,$B50))</f>
        <v/>
      </c>
      <c r="L50" s="52" t="str">
        <f>IF($B50="","",SUMIFS('UPDATE STATS'!$J$5:$J$1004,'UPDATE STATS'!$C$5:$C$1004,$B50))</f>
        <v/>
      </c>
      <c r="M50" s="54" t="str">
        <f>IF(AND(ISNUMBER($H50),$H50&gt;0,ISNUMBER($J50)),$J50/$H50,"")</f>
        <v/>
      </c>
      <c r="N50" s="55" t="str">
        <f>IF($B50="","",IF(COUNTIFS('UPDATE STATS'!$C$5:$C$1004,$B50,'UPDATE STATS'!$A$5:$A$1004,"&gt;0")=0,"",_xlfn.MAXIFS('UPDATE STATS'!$A$5:$A$1004,'UPDATE STATS'!$C$5:$C$1004,$B50)))</f>
        <v/>
      </c>
      <c r="O50" s="53" t="str">
        <f>IF($B50="","",IF($E50&lt;&gt;"Live","",IF($N50="","No stats yet",IF(ReportDate-$N50&gt;7,"Update needed",IF(AND(ISNUMBER($M50),$M50&lt;0.5),"Behind target","OK")))))</f>
        <v/>
      </c>
    </row>
    <row r="51">
      <c r="A51" s="48" t="n"/>
      <c r="B51" s="50" t="n"/>
      <c r="C51" s="48" t="n"/>
      <c r="D51" s="48" t="n"/>
      <c r="E51" s="48" t="n"/>
      <c r="F51" s="47" t="n"/>
      <c r="G51" s="47" t="n"/>
      <c r="H51" s="49" t="n"/>
      <c r="I51" s="50" t="n"/>
      <c r="J51" s="52" t="str">
        <f>IF($B51="","",SUMIFS('UPDATE STATS'!$L$5:$L$1004,'UPDATE STATS'!$C$5:$C$1004,$B51))</f>
        <v/>
      </c>
      <c r="K51" s="52" t="str">
        <f>IF($B51="","",SUMIFS('UPDATE STATS'!$M$5:$M$1004,'UPDATE STATS'!$C$5:$C$1004,$B51))</f>
        <v/>
      </c>
      <c r="L51" s="52" t="str">
        <f>IF($B51="","",SUMIFS('UPDATE STATS'!$J$5:$J$1004,'UPDATE STATS'!$C$5:$C$1004,$B51))</f>
        <v/>
      </c>
      <c r="M51" s="54" t="str">
        <f>IF(AND(ISNUMBER($H51),$H51&gt;0,ISNUMBER($J51)),$J51/$H51,"")</f>
        <v/>
      </c>
      <c r="N51" s="55" t="str">
        <f>IF($B51="","",IF(COUNTIFS('UPDATE STATS'!$C$5:$C$1004,$B51,'UPDATE STATS'!$A$5:$A$1004,"&gt;0")=0,"",_xlfn.MAXIFS('UPDATE STATS'!$A$5:$A$1004,'UPDATE STATS'!$C$5:$C$1004,$B51)))</f>
        <v/>
      </c>
      <c r="O51" s="53" t="str">
        <f>IF($B51="","",IF($E51&lt;&gt;"Live","",IF($N51="","No stats yet",IF(ReportDate-$N51&gt;7,"Update needed",IF(AND(ISNUMBER($M51),$M51&lt;0.5),"Behind target","OK")))))</f>
        <v/>
      </c>
    </row>
    <row r="52">
      <c r="A52" s="48" t="n"/>
      <c r="B52" s="50" t="n"/>
      <c r="C52" s="48" t="n"/>
      <c r="D52" s="48" t="n"/>
      <c r="E52" s="48" t="n"/>
      <c r="F52" s="47" t="n"/>
      <c r="G52" s="47" t="n"/>
      <c r="H52" s="49" t="n"/>
      <c r="I52" s="50" t="n"/>
      <c r="J52" s="52" t="str">
        <f>IF($B52="","",SUMIFS('UPDATE STATS'!$L$5:$L$1004,'UPDATE STATS'!$C$5:$C$1004,$B52))</f>
        <v/>
      </c>
      <c r="K52" s="52" t="str">
        <f>IF($B52="","",SUMIFS('UPDATE STATS'!$M$5:$M$1004,'UPDATE STATS'!$C$5:$C$1004,$B52))</f>
        <v/>
      </c>
      <c r="L52" s="52" t="str">
        <f>IF($B52="","",SUMIFS('UPDATE STATS'!$J$5:$J$1004,'UPDATE STATS'!$C$5:$C$1004,$B52))</f>
        <v/>
      </c>
      <c r="M52" s="54" t="str">
        <f>IF(AND(ISNUMBER($H52),$H52&gt;0,ISNUMBER($J52)),$J52/$H52,"")</f>
        <v/>
      </c>
      <c r="N52" s="55" t="str">
        <f>IF($B52="","",IF(COUNTIFS('UPDATE STATS'!$C$5:$C$1004,$B52,'UPDATE STATS'!$A$5:$A$1004,"&gt;0")=0,"",_xlfn.MAXIFS('UPDATE STATS'!$A$5:$A$1004,'UPDATE STATS'!$C$5:$C$1004,$B52)))</f>
        <v/>
      </c>
      <c r="O52" s="53" t="str">
        <f>IF($B52="","",IF($E52&lt;&gt;"Live","",IF($N52="","No stats yet",IF(ReportDate-$N52&gt;7,"Update needed",IF(AND(ISNUMBER($M52),$M52&lt;0.5),"Behind target","OK")))))</f>
        <v/>
      </c>
    </row>
    <row r="53">
      <c r="A53" s="48" t="n"/>
      <c r="B53" s="50" t="n"/>
      <c r="C53" s="48" t="n"/>
      <c r="D53" s="48" t="n"/>
      <c r="E53" s="48" t="n"/>
      <c r="F53" s="47" t="n"/>
      <c r="G53" s="47" t="n"/>
      <c r="H53" s="49" t="n"/>
      <c r="I53" s="50" t="n"/>
      <c r="J53" s="52" t="str">
        <f>IF($B53="","",SUMIFS('UPDATE STATS'!$L$5:$L$1004,'UPDATE STATS'!$C$5:$C$1004,$B53))</f>
        <v/>
      </c>
      <c r="K53" s="52" t="str">
        <f>IF($B53="","",SUMIFS('UPDATE STATS'!$M$5:$M$1004,'UPDATE STATS'!$C$5:$C$1004,$B53))</f>
        <v/>
      </c>
      <c r="L53" s="52" t="str">
        <f>IF($B53="","",SUMIFS('UPDATE STATS'!$J$5:$J$1004,'UPDATE STATS'!$C$5:$C$1004,$B53))</f>
        <v/>
      </c>
      <c r="M53" s="54" t="str">
        <f>IF(AND(ISNUMBER($H53),$H53&gt;0,ISNUMBER($J53)),$J53/$H53,"")</f>
        <v/>
      </c>
      <c r="N53" s="55" t="str">
        <f>IF($B53="","",IF(COUNTIFS('UPDATE STATS'!$C$5:$C$1004,$B53,'UPDATE STATS'!$A$5:$A$1004,"&gt;0")=0,"",_xlfn.MAXIFS('UPDATE STATS'!$A$5:$A$1004,'UPDATE STATS'!$C$5:$C$1004,$B53)))</f>
        <v/>
      </c>
      <c r="O53" s="53" t="str">
        <f>IF($B53="","",IF($E53&lt;&gt;"Live","",IF($N53="","No stats yet",IF(ReportDate-$N53&gt;7,"Update needed",IF(AND(ISNUMBER($M53),$M53&lt;0.5),"Behind target","OK")))))</f>
        <v/>
      </c>
    </row>
    <row r="54">
      <c r="A54" s="48" t="n"/>
      <c r="B54" s="50" t="n"/>
      <c r="C54" s="48" t="n"/>
      <c r="D54" s="48" t="n"/>
      <c r="E54" s="48" t="n"/>
      <c r="F54" s="47" t="n"/>
      <c r="G54" s="47" t="n"/>
      <c r="H54" s="49" t="n"/>
      <c r="I54" s="50" t="n"/>
      <c r="J54" s="52" t="str">
        <f>IF($B54="","",SUMIFS('UPDATE STATS'!$L$5:$L$1004,'UPDATE STATS'!$C$5:$C$1004,$B54))</f>
        <v/>
      </c>
      <c r="K54" s="52" t="str">
        <f>IF($B54="","",SUMIFS('UPDATE STATS'!$M$5:$M$1004,'UPDATE STATS'!$C$5:$C$1004,$B54))</f>
        <v/>
      </c>
      <c r="L54" s="52" t="str">
        <f>IF($B54="","",SUMIFS('UPDATE STATS'!$J$5:$J$1004,'UPDATE STATS'!$C$5:$C$1004,$B54))</f>
        <v/>
      </c>
      <c r="M54" s="54" t="str">
        <f>IF(AND(ISNUMBER($H54),$H54&gt;0,ISNUMBER($J54)),$J54/$H54,"")</f>
        <v/>
      </c>
      <c r="N54" s="55" t="str">
        <f>IF($B54="","",IF(COUNTIFS('UPDATE STATS'!$C$5:$C$1004,$B54,'UPDATE STATS'!$A$5:$A$1004,"&gt;0")=0,"",_xlfn.MAXIFS('UPDATE STATS'!$A$5:$A$1004,'UPDATE STATS'!$C$5:$C$1004,$B54)))</f>
        <v/>
      </c>
      <c r="O54" s="53" t="str">
        <f>IF($B54="","",IF($E54&lt;&gt;"Live","",IF($N54="","No stats yet",IF(ReportDate-$N54&gt;7,"Update needed",IF(AND(ISNUMBER($M54),$M54&lt;0.5),"Behind target","OK")))))</f>
        <v/>
      </c>
    </row>
    <row r="55">
      <c r="A55" s="48" t="n"/>
      <c r="B55" s="50" t="n"/>
      <c r="C55" s="48" t="n"/>
      <c r="D55" s="48" t="n"/>
      <c r="E55" s="48" t="n"/>
      <c r="F55" s="47" t="n"/>
      <c r="G55" s="47" t="n"/>
      <c r="H55" s="49" t="n"/>
      <c r="I55" s="50" t="n"/>
      <c r="J55" s="52" t="str">
        <f>IF($B55="","",SUMIFS('UPDATE STATS'!$L$5:$L$1004,'UPDATE STATS'!$C$5:$C$1004,$B55))</f>
        <v/>
      </c>
      <c r="K55" s="52" t="str">
        <f>IF($B55="","",SUMIFS('UPDATE STATS'!$M$5:$M$1004,'UPDATE STATS'!$C$5:$C$1004,$B55))</f>
        <v/>
      </c>
      <c r="L55" s="52" t="str">
        <f>IF($B55="","",SUMIFS('UPDATE STATS'!$J$5:$J$1004,'UPDATE STATS'!$C$5:$C$1004,$B55))</f>
        <v/>
      </c>
      <c r="M55" s="54" t="str">
        <f>IF(AND(ISNUMBER($H55),$H55&gt;0,ISNUMBER($J55)),$J55/$H55,"")</f>
        <v/>
      </c>
      <c r="N55" s="55" t="str">
        <f>IF($B55="","",IF(COUNTIFS('UPDATE STATS'!$C$5:$C$1004,$B55,'UPDATE STATS'!$A$5:$A$1004,"&gt;0")=0,"",_xlfn.MAXIFS('UPDATE STATS'!$A$5:$A$1004,'UPDATE STATS'!$C$5:$C$1004,$B55)))</f>
        <v/>
      </c>
      <c r="O55" s="53" t="str">
        <f>IF($B55="","",IF($E55&lt;&gt;"Live","",IF($N55="","No stats yet",IF(ReportDate-$N55&gt;7,"Update needed",IF(AND(ISNUMBER($M55),$M55&lt;0.5),"Behind target","OK")))))</f>
        <v/>
      </c>
    </row>
    <row r="56">
      <c r="A56" s="48" t="n"/>
      <c r="B56" s="50" t="n"/>
      <c r="C56" s="48" t="n"/>
      <c r="D56" s="48" t="n"/>
      <c r="E56" s="48" t="n"/>
      <c r="F56" s="47" t="n"/>
      <c r="G56" s="47" t="n"/>
      <c r="H56" s="49" t="n"/>
      <c r="I56" s="50" t="n"/>
      <c r="J56" s="52" t="str">
        <f>IF($B56="","",SUMIFS('UPDATE STATS'!$L$5:$L$1004,'UPDATE STATS'!$C$5:$C$1004,$B56))</f>
        <v/>
      </c>
      <c r="K56" s="52" t="str">
        <f>IF($B56="","",SUMIFS('UPDATE STATS'!$M$5:$M$1004,'UPDATE STATS'!$C$5:$C$1004,$B56))</f>
        <v/>
      </c>
      <c r="L56" s="52" t="str">
        <f>IF($B56="","",SUMIFS('UPDATE STATS'!$J$5:$J$1004,'UPDATE STATS'!$C$5:$C$1004,$B56))</f>
        <v/>
      </c>
      <c r="M56" s="54" t="str">
        <f>IF(AND(ISNUMBER($H56),$H56&gt;0,ISNUMBER($J56)),$J56/$H56,"")</f>
        <v/>
      </c>
      <c r="N56" s="55" t="str">
        <f>IF($B56="","",IF(COUNTIFS('UPDATE STATS'!$C$5:$C$1004,$B56,'UPDATE STATS'!$A$5:$A$1004,"&gt;0")=0,"",_xlfn.MAXIFS('UPDATE STATS'!$A$5:$A$1004,'UPDATE STATS'!$C$5:$C$1004,$B56)))</f>
        <v/>
      </c>
      <c r="O56" s="53" t="str">
        <f>IF($B56="","",IF($E56&lt;&gt;"Live","",IF($N56="","No stats yet",IF(ReportDate-$N56&gt;7,"Update needed",IF(AND(ISNUMBER($M56),$M56&lt;0.5),"Behind target","OK")))))</f>
        <v/>
      </c>
    </row>
    <row r="57">
      <c r="A57" s="48" t="n"/>
      <c r="B57" s="50" t="n"/>
      <c r="C57" s="48" t="n"/>
      <c r="D57" s="48" t="n"/>
      <c r="E57" s="48" t="n"/>
      <c r="F57" s="47" t="n"/>
      <c r="G57" s="47" t="n"/>
      <c r="H57" s="49" t="n"/>
      <c r="I57" s="50" t="n"/>
      <c r="J57" s="52" t="str">
        <f>IF($B57="","",SUMIFS('UPDATE STATS'!$L$5:$L$1004,'UPDATE STATS'!$C$5:$C$1004,$B57))</f>
        <v/>
      </c>
      <c r="K57" s="52" t="str">
        <f>IF($B57="","",SUMIFS('UPDATE STATS'!$M$5:$M$1004,'UPDATE STATS'!$C$5:$C$1004,$B57))</f>
        <v/>
      </c>
      <c r="L57" s="52" t="str">
        <f>IF($B57="","",SUMIFS('UPDATE STATS'!$J$5:$J$1004,'UPDATE STATS'!$C$5:$C$1004,$B57))</f>
        <v/>
      </c>
      <c r="M57" s="54" t="str">
        <f>IF(AND(ISNUMBER($H57),$H57&gt;0,ISNUMBER($J57)),$J57/$H57,"")</f>
        <v/>
      </c>
      <c r="N57" s="55" t="str">
        <f>IF($B57="","",IF(COUNTIFS('UPDATE STATS'!$C$5:$C$1004,$B57,'UPDATE STATS'!$A$5:$A$1004,"&gt;0")=0,"",_xlfn.MAXIFS('UPDATE STATS'!$A$5:$A$1004,'UPDATE STATS'!$C$5:$C$1004,$B57)))</f>
        <v/>
      </c>
      <c r="O57" s="53" t="str">
        <f>IF($B57="","",IF($E57&lt;&gt;"Live","",IF($N57="","No stats yet",IF(ReportDate-$N57&gt;7,"Update needed",IF(AND(ISNUMBER($M57),$M57&lt;0.5),"Behind target","OK")))))</f>
        <v/>
      </c>
    </row>
    <row r="58">
      <c r="A58" s="48" t="n"/>
      <c r="B58" s="50" t="n"/>
      <c r="C58" s="48" t="n"/>
      <c r="D58" s="48" t="n"/>
      <c r="E58" s="48" t="n"/>
      <c r="F58" s="47" t="n"/>
      <c r="G58" s="47" t="n"/>
      <c r="H58" s="49" t="n"/>
      <c r="I58" s="50" t="n"/>
      <c r="J58" s="52" t="str">
        <f>IF($B58="","",SUMIFS('UPDATE STATS'!$L$5:$L$1004,'UPDATE STATS'!$C$5:$C$1004,$B58))</f>
        <v/>
      </c>
      <c r="K58" s="52" t="str">
        <f>IF($B58="","",SUMIFS('UPDATE STATS'!$M$5:$M$1004,'UPDATE STATS'!$C$5:$C$1004,$B58))</f>
        <v/>
      </c>
      <c r="L58" s="52" t="str">
        <f>IF($B58="","",SUMIFS('UPDATE STATS'!$J$5:$J$1004,'UPDATE STATS'!$C$5:$C$1004,$B58))</f>
        <v/>
      </c>
      <c r="M58" s="54" t="str">
        <f>IF(AND(ISNUMBER($H58),$H58&gt;0,ISNUMBER($J58)),$J58/$H58,"")</f>
        <v/>
      </c>
      <c r="N58" s="55" t="str">
        <f>IF($B58="","",IF(COUNTIFS('UPDATE STATS'!$C$5:$C$1004,$B58,'UPDATE STATS'!$A$5:$A$1004,"&gt;0")=0,"",_xlfn.MAXIFS('UPDATE STATS'!$A$5:$A$1004,'UPDATE STATS'!$C$5:$C$1004,$B58)))</f>
        <v/>
      </c>
      <c r="O58" s="53" t="str">
        <f>IF($B58="","",IF($E58&lt;&gt;"Live","",IF($N58="","No stats yet",IF(ReportDate-$N58&gt;7,"Update needed",IF(AND(ISNUMBER($M58),$M58&lt;0.5),"Behind target","OK")))))</f>
        <v/>
      </c>
    </row>
    <row r="59">
      <c r="A59" s="48" t="n"/>
      <c r="B59" s="50" t="n"/>
      <c r="C59" s="48" t="n"/>
      <c r="D59" s="48" t="n"/>
      <c r="E59" s="48" t="n"/>
      <c r="F59" s="47" t="n"/>
      <c r="G59" s="47" t="n"/>
      <c r="H59" s="49" t="n"/>
      <c r="I59" s="50" t="n"/>
      <c r="J59" s="52" t="str">
        <f>IF($B59="","",SUMIFS('UPDATE STATS'!$L$5:$L$1004,'UPDATE STATS'!$C$5:$C$1004,$B59))</f>
        <v/>
      </c>
      <c r="K59" s="52" t="str">
        <f>IF($B59="","",SUMIFS('UPDATE STATS'!$M$5:$M$1004,'UPDATE STATS'!$C$5:$C$1004,$B59))</f>
        <v/>
      </c>
      <c r="L59" s="52" t="str">
        <f>IF($B59="","",SUMIFS('UPDATE STATS'!$J$5:$J$1004,'UPDATE STATS'!$C$5:$C$1004,$B59))</f>
        <v/>
      </c>
      <c r="M59" s="54" t="str">
        <f>IF(AND(ISNUMBER($H59),$H59&gt;0,ISNUMBER($J59)),$J59/$H59,"")</f>
        <v/>
      </c>
      <c r="N59" s="55" t="str">
        <f>IF($B59="","",IF(COUNTIFS('UPDATE STATS'!$C$5:$C$1004,$B59,'UPDATE STATS'!$A$5:$A$1004,"&gt;0")=0,"",_xlfn.MAXIFS('UPDATE STATS'!$A$5:$A$1004,'UPDATE STATS'!$C$5:$C$1004,$B59)))</f>
        <v/>
      </c>
      <c r="O59" s="53" t="str">
        <f>IF($B59="","",IF($E59&lt;&gt;"Live","",IF($N59="","No stats yet",IF(ReportDate-$N59&gt;7,"Update needed",IF(AND(ISNUMBER($M59),$M59&lt;0.5),"Behind target","OK")))))</f>
        <v/>
      </c>
    </row>
    <row r="60">
      <c r="A60" s="48" t="n"/>
      <c r="B60" s="50" t="n"/>
      <c r="C60" s="48" t="n"/>
      <c r="D60" s="48" t="n"/>
      <c r="E60" s="48" t="n"/>
      <c r="F60" s="47" t="n"/>
      <c r="G60" s="47" t="n"/>
      <c r="H60" s="49" t="n"/>
      <c r="I60" s="50" t="n"/>
      <c r="J60" s="52" t="str">
        <f>IF($B60="","",SUMIFS('UPDATE STATS'!$L$5:$L$1004,'UPDATE STATS'!$C$5:$C$1004,$B60))</f>
        <v/>
      </c>
      <c r="K60" s="52" t="str">
        <f>IF($B60="","",SUMIFS('UPDATE STATS'!$M$5:$M$1004,'UPDATE STATS'!$C$5:$C$1004,$B60))</f>
        <v/>
      </c>
      <c r="L60" s="52" t="str">
        <f>IF($B60="","",SUMIFS('UPDATE STATS'!$J$5:$J$1004,'UPDATE STATS'!$C$5:$C$1004,$B60))</f>
        <v/>
      </c>
      <c r="M60" s="54" t="str">
        <f>IF(AND(ISNUMBER($H60),$H60&gt;0,ISNUMBER($J60)),$J60/$H60,"")</f>
        <v/>
      </c>
      <c r="N60" s="55" t="str">
        <f>IF($B60="","",IF(COUNTIFS('UPDATE STATS'!$C$5:$C$1004,$B60,'UPDATE STATS'!$A$5:$A$1004,"&gt;0")=0,"",_xlfn.MAXIFS('UPDATE STATS'!$A$5:$A$1004,'UPDATE STATS'!$C$5:$C$1004,$B60)))</f>
        <v/>
      </c>
      <c r="O60" s="53" t="str">
        <f>IF($B60="","",IF($E60&lt;&gt;"Live","",IF($N60="","No stats yet",IF(ReportDate-$N60&gt;7,"Update needed",IF(AND(ISNUMBER($M60),$M60&lt;0.5),"Behind target","OK")))))</f>
        <v/>
      </c>
    </row>
    <row r="61">
      <c r="A61" s="48" t="n"/>
      <c r="B61" s="50" t="n"/>
      <c r="C61" s="48" t="n"/>
      <c r="D61" s="48" t="n"/>
      <c r="E61" s="48" t="n"/>
      <c r="F61" s="47" t="n"/>
      <c r="G61" s="47" t="n"/>
      <c r="H61" s="49" t="n"/>
      <c r="I61" s="50" t="n"/>
      <c r="J61" s="52" t="str">
        <f>IF($B61="","",SUMIFS('UPDATE STATS'!$L$5:$L$1004,'UPDATE STATS'!$C$5:$C$1004,$B61))</f>
        <v/>
      </c>
      <c r="K61" s="52" t="str">
        <f>IF($B61="","",SUMIFS('UPDATE STATS'!$M$5:$M$1004,'UPDATE STATS'!$C$5:$C$1004,$B61))</f>
        <v/>
      </c>
      <c r="L61" s="52" t="str">
        <f>IF($B61="","",SUMIFS('UPDATE STATS'!$J$5:$J$1004,'UPDATE STATS'!$C$5:$C$1004,$B61))</f>
        <v/>
      </c>
      <c r="M61" s="54" t="str">
        <f>IF(AND(ISNUMBER($H61),$H61&gt;0,ISNUMBER($J61)),$J61/$H61,"")</f>
        <v/>
      </c>
      <c r="N61" s="55" t="str">
        <f>IF($B61="","",IF(COUNTIFS('UPDATE STATS'!$C$5:$C$1004,$B61,'UPDATE STATS'!$A$5:$A$1004,"&gt;0")=0,"",_xlfn.MAXIFS('UPDATE STATS'!$A$5:$A$1004,'UPDATE STATS'!$C$5:$C$1004,$B61)))</f>
        <v/>
      </c>
      <c r="O61" s="53" t="str">
        <f>IF($B61="","",IF($E61&lt;&gt;"Live","",IF($N61="","No stats yet",IF(ReportDate-$N61&gt;7,"Update needed",IF(AND(ISNUMBER($M61),$M61&lt;0.5),"Behind target","OK")))))</f>
        <v/>
      </c>
    </row>
    <row r="62">
      <c r="A62" s="48" t="n"/>
      <c r="B62" s="50" t="n"/>
      <c r="C62" s="48" t="n"/>
      <c r="D62" s="48" t="n"/>
      <c r="E62" s="48" t="n"/>
      <c r="F62" s="47" t="n"/>
      <c r="G62" s="47" t="n"/>
      <c r="H62" s="49" t="n"/>
      <c r="I62" s="50" t="n"/>
      <c r="J62" s="52" t="str">
        <f>IF($B62="","",SUMIFS('UPDATE STATS'!$L$5:$L$1004,'UPDATE STATS'!$C$5:$C$1004,$B62))</f>
        <v/>
      </c>
      <c r="K62" s="52" t="str">
        <f>IF($B62="","",SUMIFS('UPDATE STATS'!$M$5:$M$1004,'UPDATE STATS'!$C$5:$C$1004,$B62))</f>
        <v/>
      </c>
      <c r="L62" s="52" t="str">
        <f>IF($B62="","",SUMIFS('UPDATE STATS'!$J$5:$J$1004,'UPDATE STATS'!$C$5:$C$1004,$B62))</f>
        <v/>
      </c>
      <c r="M62" s="54" t="str">
        <f>IF(AND(ISNUMBER($H62),$H62&gt;0,ISNUMBER($J62)),$J62/$H62,"")</f>
        <v/>
      </c>
      <c r="N62" s="55" t="str">
        <f>IF($B62="","",IF(COUNTIFS('UPDATE STATS'!$C$5:$C$1004,$B62,'UPDATE STATS'!$A$5:$A$1004,"&gt;0")=0,"",_xlfn.MAXIFS('UPDATE STATS'!$A$5:$A$1004,'UPDATE STATS'!$C$5:$C$1004,$B62)))</f>
        <v/>
      </c>
      <c r="O62" s="53" t="str">
        <f>IF($B62="","",IF($E62&lt;&gt;"Live","",IF($N62="","No stats yet",IF(ReportDate-$N62&gt;7,"Update needed",IF(AND(ISNUMBER($M62),$M62&lt;0.5),"Behind target","OK")))))</f>
        <v/>
      </c>
    </row>
    <row r="63">
      <c r="A63" s="48" t="n"/>
      <c r="B63" s="50" t="n"/>
      <c r="C63" s="48" t="n"/>
      <c r="D63" s="48" t="n"/>
      <c r="E63" s="48" t="n"/>
      <c r="F63" s="47" t="n"/>
      <c r="G63" s="47" t="n"/>
      <c r="H63" s="49" t="n"/>
      <c r="I63" s="50" t="n"/>
      <c r="J63" s="52" t="str">
        <f>IF($B63="","",SUMIFS('UPDATE STATS'!$L$5:$L$1004,'UPDATE STATS'!$C$5:$C$1004,$B63))</f>
        <v/>
      </c>
      <c r="K63" s="52" t="str">
        <f>IF($B63="","",SUMIFS('UPDATE STATS'!$M$5:$M$1004,'UPDATE STATS'!$C$5:$C$1004,$B63))</f>
        <v/>
      </c>
      <c r="L63" s="52" t="str">
        <f>IF($B63="","",SUMIFS('UPDATE STATS'!$J$5:$J$1004,'UPDATE STATS'!$C$5:$C$1004,$B63))</f>
        <v/>
      </c>
      <c r="M63" s="54" t="str">
        <f>IF(AND(ISNUMBER($H63),$H63&gt;0,ISNUMBER($J63)),$J63/$H63,"")</f>
        <v/>
      </c>
      <c r="N63" s="55" t="str">
        <f>IF($B63="","",IF(COUNTIFS('UPDATE STATS'!$C$5:$C$1004,$B63,'UPDATE STATS'!$A$5:$A$1004,"&gt;0")=0,"",_xlfn.MAXIFS('UPDATE STATS'!$A$5:$A$1004,'UPDATE STATS'!$C$5:$C$1004,$B63)))</f>
        <v/>
      </c>
      <c r="O63" s="53" t="str">
        <f>IF($B63="","",IF($E63&lt;&gt;"Live","",IF($N63="","No stats yet",IF(ReportDate-$N63&gt;7,"Update needed",IF(AND(ISNUMBER($M63),$M63&lt;0.5),"Behind target","OK")))))</f>
        <v/>
      </c>
    </row>
    <row r="64">
      <c r="A64" s="48" t="n"/>
      <c r="B64" s="50" t="n"/>
      <c r="C64" s="48" t="n"/>
      <c r="D64" s="48" t="n"/>
      <c r="E64" s="48" t="n"/>
      <c r="F64" s="47" t="n"/>
      <c r="G64" s="47" t="n"/>
      <c r="H64" s="49" t="n"/>
      <c r="I64" s="50" t="n"/>
      <c r="J64" s="52" t="str">
        <f>IF($B64="","",SUMIFS('UPDATE STATS'!$L$5:$L$1004,'UPDATE STATS'!$C$5:$C$1004,$B64))</f>
        <v/>
      </c>
      <c r="K64" s="52" t="str">
        <f>IF($B64="","",SUMIFS('UPDATE STATS'!$M$5:$M$1004,'UPDATE STATS'!$C$5:$C$1004,$B64))</f>
        <v/>
      </c>
      <c r="L64" s="52" t="str">
        <f>IF($B64="","",SUMIFS('UPDATE STATS'!$J$5:$J$1004,'UPDATE STATS'!$C$5:$C$1004,$B64))</f>
        <v/>
      </c>
      <c r="M64" s="54" t="str">
        <f>IF(AND(ISNUMBER($H64),$H64&gt;0,ISNUMBER($J64)),$J64/$H64,"")</f>
        <v/>
      </c>
      <c r="N64" s="55" t="str">
        <f>IF($B64="","",IF(COUNTIFS('UPDATE STATS'!$C$5:$C$1004,$B64,'UPDATE STATS'!$A$5:$A$1004,"&gt;0")=0,"",_xlfn.MAXIFS('UPDATE STATS'!$A$5:$A$1004,'UPDATE STATS'!$C$5:$C$1004,$B64)))</f>
        <v/>
      </c>
      <c r="O64" s="53" t="str">
        <f>IF($B64="","",IF($E64&lt;&gt;"Live","",IF($N64="","No stats yet",IF(ReportDate-$N64&gt;7,"Update needed",IF(AND(ISNUMBER($M64),$M64&lt;0.5),"Behind target","OK")))))</f>
        <v/>
      </c>
    </row>
    <row r="65">
      <c r="A65" s="48" t="n"/>
      <c r="B65" s="50" t="n"/>
      <c r="C65" s="48" t="n"/>
      <c r="D65" s="48" t="n"/>
      <c r="E65" s="48" t="n"/>
      <c r="F65" s="47" t="n"/>
      <c r="G65" s="47" t="n"/>
      <c r="H65" s="49" t="n"/>
      <c r="I65" s="50" t="n"/>
      <c r="J65" s="52" t="str">
        <f>IF($B65="","",SUMIFS('UPDATE STATS'!$L$5:$L$1004,'UPDATE STATS'!$C$5:$C$1004,$B65))</f>
        <v/>
      </c>
      <c r="K65" s="52" t="str">
        <f>IF($B65="","",SUMIFS('UPDATE STATS'!$M$5:$M$1004,'UPDATE STATS'!$C$5:$C$1004,$B65))</f>
        <v/>
      </c>
      <c r="L65" s="52" t="str">
        <f>IF($B65="","",SUMIFS('UPDATE STATS'!$J$5:$J$1004,'UPDATE STATS'!$C$5:$C$1004,$B65))</f>
        <v/>
      </c>
      <c r="M65" s="54" t="str">
        <f>IF(AND(ISNUMBER($H65),$H65&gt;0,ISNUMBER($J65)),$J65/$H65,"")</f>
        <v/>
      </c>
      <c r="N65" s="55" t="str">
        <f>IF($B65="","",IF(COUNTIFS('UPDATE STATS'!$C$5:$C$1004,$B65,'UPDATE STATS'!$A$5:$A$1004,"&gt;0")=0,"",_xlfn.MAXIFS('UPDATE STATS'!$A$5:$A$1004,'UPDATE STATS'!$C$5:$C$1004,$B65)))</f>
        <v/>
      </c>
      <c r="O65" s="53" t="str">
        <f>IF($B65="","",IF($E65&lt;&gt;"Live","",IF($N65="","No stats yet",IF(ReportDate-$N65&gt;7,"Update needed",IF(AND(ISNUMBER($M65),$M65&lt;0.5),"Behind target","OK")))))</f>
        <v/>
      </c>
    </row>
    <row r="66">
      <c r="A66" s="48" t="n"/>
      <c r="B66" s="50" t="n"/>
      <c r="C66" s="48" t="n"/>
      <c r="D66" s="48" t="n"/>
      <c r="E66" s="48" t="n"/>
      <c r="F66" s="47" t="n"/>
      <c r="G66" s="47" t="n"/>
      <c r="H66" s="49" t="n"/>
      <c r="I66" s="50" t="n"/>
      <c r="J66" s="52" t="str">
        <f>IF($B66="","",SUMIFS('UPDATE STATS'!$L$5:$L$1004,'UPDATE STATS'!$C$5:$C$1004,$B66))</f>
        <v/>
      </c>
      <c r="K66" s="52" t="str">
        <f>IF($B66="","",SUMIFS('UPDATE STATS'!$M$5:$M$1004,'UPDATE STATS'!$C$5:$C$1004,$B66))</f>
        <v/>
      </c>
      <c r="L66" s="52" t="str">
        <f>IF($B66="","",SUMIFS('UPDATE STATS'!$J$5:$J$1004,'UPDATE STATS'!$C$5:$C$1004,$B66))</f>
        <v/>
      </c>
      <c r="M66" s="54" t="str">
        <f>IF(AND(ISNUMBER($H66),$H66&gt;0,ISNUMBER($J66)),$J66/$H66,"")</f>
        <v/>
      </c>
      <c r="N66" s="55" t="str">
        <f>IF($B66="","",IF(COUNTIFS('UPDATE STATS'!$C$5:$C$1004,$B66,'UPDATE STATS'!$A$5:$A$1004,"&gt;0")=0,"",_xlfn.MAXIFS('UPDATE STATS'!$A$5:$A$1004,'UPDATE STATS'!$C$5:$C$1004,$B66)))</f>
        <v/>
      </c>
      <c r="O66" s="53" t="str">
        <f>IF($B66="","",IF($E66&lt;&gt;"Live","",IF($N66="","No stats yet",IF(ReportDate-$N66&gt;7,"Update needed",IF(AND(ISNUMBER($M66),$M66&lt;0.5),"Behind target","OK")))))</f>
        <v/>
      </c>
    </row>
    <row r="67">
      <c r="A67" s="48" t="n"/>
      <c r="B67" s="50" t="n"/>
      <c r="C67" s="48" t="n"/>
      <c r="D67" s="48" t="n"/>
      <c r="E67" s="48" t="n"/>
      <c r="F67" s="47" t="n"/>
      <c r="G67" s="47" t="n"/>
      <c r="H67" s="49" t="n"/>
      <c r="I67" s="50" t="n"/>
      <c r="J67" s="52" t="str">
        <f>IF($B67="","",SUMIFS('UPDATE STATS'!$L$5:$L$1004,'UPDATE STATS'!$C$5:$C$1004,$B67))</f>
        <v/>
      </c>
      <c r="K67" s="52" t="str">
        <f>IF($B67="","",SUMIFS('UPDATE STATS'!$M$5:$M$1004,'UPDATE STATS'!$C$5:$C$1004,$B67))</f>
        <v/>
      </c>
      <c r="L67" s="52" t="str">
        <f>IF($B67="","",SUMIFS('UPDATE STATS'!$J$5:$J$1004,'UPDATE STATS'!$C$5:$C$1004,$B67))</f>
        <v/>
      </c>
      <c r="M67" s="54" t="str">
        <f>IF(AND(ISNUMBER($H67),$H67&gt;0,ISNUMBER($J67)),$J67/$H67,"")</f>
        <v/>
      </c>
      <c r="N67" s="55" t="str">
        <f>IF($B67="","",IF(COUNTIFS('UPDATE STATS'!$C$5:$C$1004,$B67,'UPDATE STATS'!$A$5:$A$1004,"&gt;0")=0,"",_xlfn.MAXIFS('UPDATE STATS'!$A$5:$A$1004,'UPDATE STATS'!$C$5:$C$1004,$B67)))</f>
        <v/>
      </c>
      <c r="O67" s="53" t="str">
        <f>IF($B67="","",IF($E67&lt;&gt;"Live","",IF($N67="","No stats yet",IF(ReportDate-$N67&gt;7,"Update needed",IF(AND(ISNUMBER($M67),$M67&lt;0.5),"Behind target","OK")))))</f>
        <v/>
      </c>
    </row>
    <row r="68">
      <c r="A68" s="48" t="n"/>
      <c r="B68" s="50" t="n"/>
      <c r="C68" s="48" t="n"/>
      <c r="D68" s="48" t="n"/>
      <c r="E68" s="48" t="n"/>
      <c r="F68" s="47" t="n"/>
      <c r="G68" s="47" t="n"/>
      <c r="H68" s="49" t="n"/>
      <c r="I68" s="50" t="n"/>
      <c r="J68" s="52" t="str">
        <f>IF($B68="","",SUMIFS('UPDATE STATS'!$L$5:$L$1004,'UPDATE STATS'!$C$5:$C$1004,$B68))</f>
        <v/>
      </c>
      <c r="K68" s="52" t="str">
        <f>IF($B68="","",SUMIFS('UPDATE STATS'!$M$5:$M$1004,'UPDATE STATS'!$C$5:$C$1004,$B68))</f>
        <v/>
      </c>
      <c r="L68" s="52" t="str">
        <f>IF($B68="","",SUMIFS('UPDATE STATS'!$J$5:$J$1004,'UPDATE STATS'!$C$5:$C$1004,$B68))</f>
        <v/>
      </c>
      <c r="M68" s="54" t="str">
        <f>IF(AND(ISNUMBER($H68),$H68&gt;0,ISNUMBER($J68)),$J68/$H68,"")</f>
        <v/>
      </c>
      <c r="N68" s="55" t="str">
        <f>IF($B68="","",IF(COUNTIFS('UPDATE STATS'!$C$5:$C$1004,$B68,'UPDATE STATS'!$A$5:$A$1004,"&gt;0")=0,"",_xlfn.MAXIFS('UPDATE STATS'!$A$5:$A$1004,'UPDATE STATS'!$C$5:$C$1004,$B68)))</f>
        <v/>
      </c>
      <c r="O68" s="53" t="str">
        <f>IF($B68="","",IF($E68&lt;&gt;"Live","",IF($N68="","No stats yet",IF(ReportDate-$N68&gt;7,"Update needed",IF(AND(ISNUMBER($M68),$M68&lt;0.5),"Behind target","OK")))))</f>
        <v/>
      </c>
    </row>
    <row r="69">
      <c r="A69" s="48" t="n"/>
      <c r="B69" s="50" t="n"/>
      <c r="C69" s="48" t="n"/>
      <c r="D69" s="48" t="n"/>
      <c r="E69" s="48" t="n"/>
      <c r="F69" s="47" t="n"/>
      <c r="G69" s="47" t="n"/>
      <c r="H69" s="49" t="n"/>
      <c r="I69" s="50" t="n"/>
      <c r="J69" s="52" t="str">
        <f>IF($B69="","",SUMIFS('UPDATE STATS'!$L$5:$L$1004,'UPDATE STATS'!$C$5:$C$1004,$B69))</f>
        <v/>
      </c>
      <c r="K69" s="52" t="str">
        <f>IF($B69="","",SUMIFS('UPDATE STATS'!$M$5:$M$1004,'UPDATE STATS'!$C$5:$C$1004,$B69))</f>
        <v/>
      </c>
      <c r="L69" s="52" t="str">
        <f>IF($B69="","",SUMIFS('UPDATE STATS'!$J$5:$J$1004,'UPDATE STATS'!$C$5:$C$1004,$B69))</f>
        <v/>
      </c>
      <c r="M69" s="54" t="str">
        <f>IF(AND(ISNUMBER($H69),$H69&gt;0,ISNUMBER($J69)),$J69/$H69,"")</f>
        <v/>
      </c>
      <c r="N69" s="55" t="str">
        <f>IF($B69="","",IF(COUNTIFS('UPDATE STATS'!$C$5:$C$1004,$B69,'UPDATE STATS'!$A$5:$A$1004,"&gt;0")=0,"",_xlfn.MAXIFS('UPDATE STATS'!$A$5:$A$1004,'UPDATE STATS'!$C$5:$C$1004,$B69)))</f>
        <v/>
      </c>
      <c r="O69" s="53" t="str">
        <f>IF($B69="","",IF($E69&lt;&gt;"Live","",IF($N69="","No stats yet",IF(ReportDate-$N69&gt;7,"Update needed",IF(AND(ISNUMBER($M69),$M69&lt;0.5),"Behind target","OK")))))</f>
        <v/>
      </c>
    </row>
    <row r="70">
      <c r="A70" s="48" t="n"/>
      <c r="B70" s="50" t="n"/>
      <c r="C70" s="48" t="n"/>
      <c r="D70" s="48" t="n"/>
      <c r="E70" s="48" t="n"/>
      <c r="F70" s="47" t="n"/>
      <c r="G70" s="47" t="n"/>
      <c r="H70" s="49" t="n"/>
      <c r="I70" s="50" t="n"/>
      <c r="J70" s="52" t="str">
        <f>IF($B70="","",SUMIFS('UPDATE STATS'!$L$5:$L$1004,'UPDATE STATS'!$C$5:$C$1004,$B70))</f>
        <v/>
      </c>
      <c r="K70" s="52" t="str">
        <f>IF($B70="","",SUMIFS('UPDATE STATS'!$M$5:$M$1004,'UPDATE STATS'!$C$5:$C$1004,$B70))</f>
        <v/>
      </c>
      <c r="L70" s="52" t="str">
        <f>IF($B70="","",SUMIFS('UPDATE STATS'!$J$5:$J$1004,'UPDATE STATS'!$C$5:$C$1004,$B70))</f>
        <v/>
      </c>
      <c r="M70" s="54" t="str">
        <f>IF(AND(ISNUMBER($H70),$H70&gt;0,ISNUMBER($J70)),$J70/$H70,"")</f>
        <v/>
      </c>
      <c r="N70" s="55" t="str">
        <f>IF($B70="","",IF(COUNTIFS('UPDATE STATS'!$C$5:$C$1004,$B70,'UPDATE STATS'!$A$5:$A$1004,"&gt;0")=0,"",_xlfn.MAXIFS('UPDATE STATS'!$A$5:$A$1004,'UPDATE STATS'!$C$5:$C$1004,$B70)))</f>
        <v/>
      </c>
      <c r="O70" s="53" t="str">
        <f>IF($B70="","",IF($E70&lt;&gt;"Live","",IF($N70="","No stats yet",IF(ReportDate-$N70&gt;7,"Update needed",IF(AND(ISNUMBER($M70),$M70&lt;0.5),"Behind target","OK")))))</f>
        <v/>
      </c>
    </row>
    <row r="71">
      <c r="A71" s="48" t="n"/>
      <c r="B71" s="50" t="n"/>
      <c r="C71" s="48" t="n"/>
      <c r="D71" s="48" t="n"/>
      <c r="E71" s="48" t="n"/>
      <c r="F71" s="47" t="n"/>
      <c r="G71" s="47" t="n"/>
      <c r="H71" s="49" t="n"/>
      <c r="I71" s="50" t="n"/>
      <c r="J71" s="52" t="str">
        <f>IF($B71="","",SUMIFS('UPDATE STATS'!$L$5:$L$1004,'UPDATE STATS'!$C$5:$C$1004,$B71))</f>
        <v/>
      </c>
      <c r="K71" s="52" t="str">
        <f>IF($B71="","",SUMIFS('UPDATE STATS'!$M$5:$M$1004,'UPDATE STATS'!$C$5:$C$1004,$B71))</f>
        <v/>
      </c>
      <c r="L71" s="52" t="str">
        <f>IF($B71="","",SUMIFS('UPDATE STATS'!$J$5:$J$1004,'UPDATE STATS'!$C$5:$C$1004,$B71))</f>
        <v/>
      </c>
      <c r="M71" s="54" t="str">
        <f>IF(AND(ISNUMBER($H71),$H71&gt;0,ISNUMBER($J71)),$J71/$H71,"")</f>
        <v/>
      </c>
      <c r="N71" s="55" t="str">
        <f>IF($B71="","",IF(COUNTIFS('UPDATE STATS'!$C$5:$C$1004,$B71,'UPDATE STATS'!$A$5:$A$1004,"&gt;0")=0,"",_xlfn.MAXIFS('UPDATE STATS'!$A$5:$A$1004,'UPDATE STATS'!$C$5:$C$1004,$B71)))</f>
        <v/>
      </c>
      <c r="O71" s="53" t="str">
        <f>IF($B71="","",IF($E71&lt;&gt;"Live","",IF($N71="","No stats yet",IF(ReportDate-$N71&gt;7,"Update needed",IF(AND(ISNUMBER($M71),$M71&lt;0.5),"Behind target","OK")))))</f>
        <v/>
      </c>
    </row>
    <row r="72">
      <c r="A72" s="48" t="n"/>
      <c r="B72" s="50" t="n"/>
      <c r="C72" s="48" t="n"/>
      <c r="D72" s="48" t="n"/>
      <c r="E72" s="48" t="n"/>
      <c r="F72" s="47" t="n"/>
      <c r="G72" s="47" t="n"/>
      <c r="H72" s="49" t="n"/>
      <c r="I72" s="50" t="n"/>
      <c r="J72" s="52" t="str">
        <f>IF($B72="","",SUMIFS('UPDATE STATS'!$L$5:$L$1004,'UPDATE STATS'!$C$5:$C$1004,$B72))</f>
        <v/>
      </c>
      <c r="K72" s="52" t="str">
        <f>IF($B72="","",SUMIFS('UPDATE STATS'!$M$5:$M$1004,'UPDATE STATS'!$C$5:$C$1004,$B72))</f>
        <v/>
      </c>
      <c r="L72" s="52" t="str">
        <f>IF($B72="","",SUMIFS('UPDATE STATS'!$J$5:$J$1004,'UPDATE STATS'!$C$5:$C$1004,$B72))</f>
        <v/>
      </c>
      <c r="M72" s="54" t="str">
        <f>IF(AND(ISNUMBER($H72),$H72&gt;0,ISNUMBER($J72)),$J72/$H72,"")</f>
        <v/>
      </c>
      <c r="N72" s="55" t="str">
        <f>IF($B72="","",IF(COUNTIFS('UPDATE STATS'!$C$5:$C$1004,$B72,'UPDATE STATS'!$A$5:$A$1004,"&gt;0")=0,"",_xlfn.MAXIFS('UPDATE STATS'!$A$5:$A$1004,'UPDATE STATS'!$C$5:$C$1004,$B72)))</f>
        <v/>
      </c>
      <c r="O72" s="53" t="str">
        <f>IF($B72="","",IF($E72&lt;&gt;"Live","",IF($N72="","No stats yet",IF(ReportDate-$N72&gt;7,"Update needed",IF(AND(ISNUMBER($M72),$M72&lt;0.5),"Behind target","OK")))))</f>
        <v/>
      </c>
    </row>
    <row r="73">
      <c r="A73" s="48" t="n"/>
      <c r="B73" s="50" t="n"/>
      <c r="C73" s="48" t="n"/>
      <c r="D73" s="48" t="n"/>
      <c r="E73" s="48" t="n"/>
      <c r="F73" s="47" t="n"/>
      <c r="G73" s="47" t="n"/>
      <c r="H73" s="49" t="n"/>
      <c r="I73" s="50" t="n"/>
      <c r="J73" s="52" t="str">
        <f>IF($B73="","",SUMIFS('UPDATE STATS'!$L$5:$L$1004,'UPDATE STATS'!$C$5:$C$1004,$B73))</f>
        <v/>
      </c>
      <c r="K73" s="52" t="str">
        <f>IF($B73="","",SUMIFS('UPDATE STATS'!$M$5:$M$1004,'UPDATE STATS'!$C$5:$C$1004,$B73))</f>
        <v/>
      </c>
      <c r="L73" s="52" t="str">
        <f>IF($B73="","",SUMIFS('UPDATE STATS'!$J$5:$J$1004,'UPDATE STATS'!$C$5:$C$1004,$B73))</f>
        <v/>
      </c>
      <c r="M73" s="54" t="str">
        <f>IF(AND(ISNUMBER($H73),$H73&gt;0,ISNUMBER($J73)),$J73/$H73,"")</f>
        <v/>
      </c>
      <c r="N73" s="55" t="str">
        <f>IF($B73="","",IF(COUNTIFS('UPDATE STATS'!$C$5:$C$1004,$B73,'UPDATE STATS'!$A$5:$A$1004,"&gt;0")=0,"",_xlfn.MAXIFS('UPDATE STATS'!$A$5:$A$1004,'UPDATE STATS'!$C$5:$C$1004,$B73)))</f>
        <v/>
      </c>
      <c r="O73" s="53" t="str">
        <f>IF($B73="","",IF($E73&lt;&gt;"Live","",IF($N73="","No stats yet",IF(ReportDate-$N73&gt;7,"Update needed",IF(AND(ISNUMBER($M73),$M73&lt;0.5),"Behind target","OK")))))</f>
        <v/>
      </c>
    </row>
    <row r="74">
      <c r="A74" s="48" t="n"/>
      <c r="B74" s="50" t="n"/>
      <c r="C74" s="48" t="n"/>
      <c r="D74" s="48" t="n"/>
      <c r="E74" s="48" t="n"/>
      <c r="F74" s="47" t="n"/>
      <c r="G74" s="47" t="n"/>
      <c r="H74" s="49" t="n"/>
      <c r="I74" s="50" t="n"/>
      <c r="J74" s="52" t="str">
        <f>IF($B74="","",SUMIFS('UPDATE STATS'!$L$5:$L$1004,'UPDATE STATS'!$C$5:$C$1004,$B74))</f>
        <v/>
      </c>
      <c r="K74" s="52" t="str">
        <f>IF($B74="","",SUMIFS('UPDATE STATS'!$M$5:$M$1004,'UPDATE STATS'!$C$5:$C$1004,$B74))</f>
        <v/>
      </c>
      <c r="L74" s="52" t="str">
        <f>IF($B74="","",SUMIFS('UPDATE STATS'!$J$5:$J$1004,'UPDATE STATS'!$C$5:$C$1004,$B74))</f>
        <v/>
      </c>
      <c r="M74" s="54" t="str">
        <f>IF(AND(ISNUMBER($H74),$H74&gt;0,ISNUMBER($J74)),$J74/$H74,"")</f>
        <v/>
      </c>
      <c r="N74" s="55" t="str">
        <f>IF($B74="","",IF(COUNTIFS('UPDATE STATS'!$C$5:$C$1004,$B74,'UPDATE STATS'!$A$5:$A$1004,"&gt;0")=0,"",_xlfn.MAXIFS('UPDATE STATS'!$A$5:$A$1004,'UPDATE STATS'!$C$5:$C$1004,$B74)))</f>
        <v/>
      </c>
      <c r="O74" s="53" t="str">
        <f>IF($B74="","",IF($E74&lt;&gt;"Live","",IF($N74="","No stats yet",IF(ReportDate-$N74&gt;7,"Update needed",IF(AND(ISNUMBER($M74),$M74&lt;0.5),"Behind target","OK")))))</f>
        <v/>
      </c>
    </row>
    <row r="75">
      <c r="A75" s="48" t="n"/>
      <c r="B75" s="50" t="n"/>
      <c r="C75" s="48" t="n"/>
      <c r="D75" s="48" t="n"/>
      <c r="E75" s="48" t="n"/>
      <c r="F75" s="47" t="n"/>
      <c r="G75" s="47" t="n"/>
      <c r="H75" s="49" t="n"/>
      <c r="I75" s="50" t="n"/>
      <c r="J75" s="52" t="str">
        <f>IF($B75="","",SUMIFS('UPDATE STATS'!$L$5:$L$1004,'UPDATE STATS'!$C$5:$C$1004,$B75))</f>
        <v/>
      </c>
      <c r="K75" s="52" t="str">
        <f>IF($B75="","",SUMIFS('UPDATE STATS'!$M$5:$M$1004,'UPDATE STATS'!$C$5:$C$1004,$B75))</f>
        <v/>
      </c>
      <c r="L75" s="52" t="str">
        <f>IF($B75="","",SUMIFS('UPDATE STATS'!$J$5:$J$1004,'UPDATE STATS'!$C$5:$C$1004,$B75))</f>
        <v/>
      </c>
      <c r="M75" s="54" t="str">
        <f>IF(AND(ISNUMBER($H75),$H75&gt;0,ISNUMBER($J75)),$J75/$H75,"")</f>
        <v/>
      </c>
      <c r="N75" s="55" t="str">
        <f>IF($B75="","",IF(COUNTIFS('UPDATE STATS'!$C$5:$C$1004,$B75,'UPDATE STATS'!$A$5:$A$1004,"&gt;0")=0,"",_xlfn.MAXIFS('UPDATE STATS'!$A$5:$A$1004,'UPDATE STATS'!$C$5:$C$1004,$B75)))</f>
        <v/>
      </c>
      <c r="O75" s="53" t="str">
        <f>IF($B75="","",IF($E75&lt;&gt;"Live","",IF($N75="","No stats yet",IF(ReportDate-$N75&gt;7,"Update needed",IF(AND(ISNUMBER($M75),$M75&lt;0.5),"Behind target","OK")))))</f>
        <v/>
      </c>
    </row>
    <row r="76">
      <c r="A76" s="48" t="n"/>
      <c r="B76" s="50" t="n"/>
      <c r="C76" s="48" t="n"/>
      <c r="D76" s="48" t="n"/>
      <c r="E76" s="48" t="n"/>
      <c r="F76" s="47" t="n"/>
      <c r="G76" s="47" t="n"/>
      <c r="H76" s="49" t="n"/>
      <c r="I76" s="50" t="n"/>
      <c r="J76" s="52" t="str">
        <f>IF($B76="","",SUMIFS('UPDATE STATS'!$L$5:$L$1004,'UPDATE STATS'!$C$5:$C$1004,$B76))</f>
        <v/>
      </c>
      <c r="K76" s="52" t="str">
        <f>IF($B76="","",SUMIFS('UPDATE STATS'!$M$5:$M$1004,'UPDATE STATS'!$C$5:$C$1004,$B76))</f>
        <v/>
      </c>
      <c r="L76" s="52" t="str">
        <f>IF($B76="","",SUMIFS('UPDATE STATS'!$J$5:$J$1004,'UPDATE STATS'!$C$5:$C$1004,$B76))</f>
        <v/>
      </c>
      <c r="M76" s="54" t="str">
        <f>IF(AND(ISNUMBER($H76),$H76&gt;0,ISNUMBER($J76)),$J76/$H76,"")</f>
        <v/>
      </c>
      <c r="N76" s="55" t="str">
        <f>IF($B76="","",IF(COUNTIFS('UPDATE STATS'!$C$5:$C$1004,$B76,'UPDATE STATS'!$A$5:$A$1004,"&gt;0")=0,"",_xlfn.MAXIFS('UPDATE STATS'!$A$5:$A$1004,'UPDATE STATS'!$C$5:$C$1004,$B76)))</f>
        <v/>
      </c>
      <c r="O76" s="53" t="str">
        <f>IF($B76="","",IF($E76&lt;&gt;"Live","",IF($N76="","No stats yet",IF(ReportDate-$N76&gt;7,"Update needed",IF(AND(ISNUMBER($M76),$M76&lt;0.5),"Behind target","OK")))))</f>
        <v/>
      </c>
    </row>
    <row r="77">
      <c r="A77" s="48" t="n"/>
      <c r="B77" s="50" t="n"/>
      <c r="C77" s="48" t="n"/>
      <c r="D77" s="48" t="n"/>
      <c r="E77" s="48" t="n"/>
      <c r="F77" s="47" t="n"/>
      <c r="G77" s="47" t="n"/>
      <c r="H77" s="49" t="n"/>
      <c r="I77" s="50" t="n"/>
      <c r="J77" s="52" t="str">
        <f>IF($B77="","",SUMIFS('UPDATE STATS'!$L$5:$L$1004,'UPDATE STATS'!$C$5:$C$1004,$B77))</f>
        <v/>
      </c>
      <c r="K77" s="52" t="str">
        <f>IF($B77="","",SUMIFS('UPDATE STATS'!$M$5:$M$1004,'UPDATE STATS'!$C$5:$C$1004,$B77))</f>
        <v/>
      </c>
      <c r="L77" s="52" t="str">
        <f>IF($B77="","",SUMIFS('UPDATE STATS'!$J$5:$J$1004,'UPDATE STATS'!$C$5:$C$1004,$B77))</f>
        <v/>
      </c>
      <c r="M77" s="54" t="str">
        <f>IF(AND(ISNUMBER($H77),$H77&gt;0,ISNUMBER($J77)),$J77/$H77,"")</f>
        <v/>
      </c>
      <c r="N77" s="55" t="str">
        <f>IF($B77="","",IF(COUNTIFS('UPDATE STATS'!$C$5:$C$1004,$B77,'UPDATE STATS'!$A$5:$A$1004,"&gt;0")=0,"",_xlfn.MAXIFS('UPDATE STATS'!$A$5:$A$1004,'UPDATE STATS'!$C$5:$C$1004,$B77)))</f>
        <v/>
      </c>
      <c r="O77" s="53" t="str">
        <f>IF($B77="","",IF($E77&lt;&gt;"Live","",IF($N77="","No stats yet",IF(ReportDate-$N77&gt;7,"Update needed",IF(AND(ISNUMBER($M77),$M77&lt;0.5),"Behind target","OK")))))</f>
        <v/>
      </c>
    </row>
    <row r="78">
      <c r="A78" s="48" t="n"/>
      <c r="B78" s="50" t="n"/>
      <c r="C78" s="48" t="n"/>
      <c r="D78" s="48" t="n"/>
      <c r="E78" s="48" t="n"/>
      <c r="F78" s="47" t="n"/>
      <c r="G78" s="47" t="n"/>
      <c r="H78" s="49" t="n"/>
      <c r="I78" s="50" t="n"/>
      <c r="J78" s="52" t="str">
        <f>IF($B78="","",SUMIFS('UPDATE STATS'!$L$5:$L$1004,'UPDATE STATS'!$C$5:$C$1004,$B78))</f>
        <v/>
      </c>
      <c r="K78" s="52" t="str">
        <f>IF($B78="","",SUMIFS('UPDATE STATS'!$M$5:$M$1004,'UPDATE STATS'!$C$5:$C$1004,$B78))</f>
        <v/>
      </c>
      <c r="L78" s="52" t="str">
        <f>IF($B78="","",SUMIFS('UPDATE STATS'!$J$5:$J$1004,'UPDATE STATS'!$C$5:$C$1004,$B78))</f>
        <v/>
      </c>
      <c r="M78" s="54" t="str">
        <f>IF(AND(ISNUMBER($H78),$H78&gt;0,ISNUMBER($J78)),$J78/$H78,"")</f>
        <v/>
      </c>
      <c r="N78" s="55" t="str">
        <f>IF($B78="","",IF(COUNTIFS('UPDATE STATS'!$C$5:$C$1004,$B78,'UPDATE STATS'!$A$5:$A$1004,"&gt;0")=0,"",_xlfn.MAXIFS('UPDATE STATS'!$A$5:$A$1004,'UPDATE STATS'!$C$5:$C$1004,$B78)))</f>
        <v/>
      </c>
      <c r="O78" s="53" t="str">
        <f>IF($B78="","",IF($E78&lt;&gt;"Live","",IF($N78="","No stats yet",IF(ReportDate-$N78&gt;7,"Update needed",IF(AND(ISNUMBER($M78),$M78&lt;0.5),"Behind target","OK")))))</f>
        <v/>
      </c>
    </row>
    <row r="79">
      <c r="A79" s="48" t="n"/>
      <c r="B79" s="50" t="n"/>
      <c r="C79" s="48" t="n"/>
      <c r="D79" s="48" t="n"/>
      <c r="E79" s="48" t="n"/>
      <c r="F79" s="47" t="n"/>
      <c r="G79" s="47" t="n"/>
      <c r="H79" s="49" t="n"/>
      <c r="I79" s="50" t="n"/>
      <c r="J79" s="52" t="str">
        <f>IF($B79="","",SUMIFS('UPDATE STATS'!$L$5:$L$1004,'UPDATE STATS'!$C$5:$C$1004,$B79))</f>
        <v/>
      </c>
      <c r="K79" s="52" t="str">
        <f>IF($B79="","",SUMIFS('UPDATE STATS'!$M$5:$M$1004,'UPDATE STATS'!$C$5:$C$1004,$B79))</f>
        <v/>
      </c>
      <c r="L79" s="52" t="str">
        <f>IF($B79="","",SUMIFS('UPDATE STATS'!$J$5:$J$1004,'UPDATE STATS'!$C$5:$C$1004,$B79))</f>
        <v/>
      </c>
      <c r="M79" s="54" t="str">
        <f>IF(AND(ISNUMBER($H79),$H79&gt;0,ISNUMBER($J79)),$J79/$H79,"")</f>
        <v/>
      </c>
      <c r="N79" s="55" t="str">
        <f>IF($B79="","",IF(COUNTIFS('UPDATE STATS'!$C$5:$C$1004,$B79,'UPDATE STATS'!$A$5:$A$1004,"&gt;0")=0,"",_xlfn.MAXIFS('UPDATE STATS'!$A$5:$A$1004,'UPDATE STATS'!$C$5:$C$1004,$B79)))</f>
        <v/>
      </c>
      <c r="O79" s="53" t="str">
        <f>IF($B79="","",IF($E79&lt;&gt;"Live","",IF($N79="","No stats yet",IF(ReportDate-$N79&gt;7,"Update needed",IF(AND(ISNUMBER($M79),$M79&lt;0.5),"Behind target","OK")))))</f>
        <v/>
      </c>
    </row>
    <row r="80">
      <c r="A80" s="48" t="n"/>
      <c r="B80" s="50" t="n"/>
      <c r="C80" s="48" t="n"/>
      <c r="D80" s="48" t="n"/>
      <c r="E80" s="48" t="n"/>
      <c r="F80" s="47" t="n"/>
      <c r="G80" s="47" t="n"/>
      <c r="H80" s="49" t="n"/>
      <c r="I80" s="50" t="n"/>
      <c r="J80" s="52" t="str">
        <f>IF($B80="","",SUMIFS('UPDATE STATS'!$L$5:$L$1004,'UPDATE STATS'!$C$5:$C$1004,$B80))</f>
        <v/>
      </c>
      <c r="K80" s="52" t="str">
        <f>IF($B80="","",SUMIFS('UPDATE STATS'!$M$5:$M$1004,'UPDATE STATS'!$C$5:$C$1004,$B80))</f>
        <v/>
      </c>
      <c r="L80" s="52" t="str">
        <f>IF($B80="","",SUMIFS('UPDATE STATS'!$J$5:$J$1004,'UPDATE STATS'!$C$5:$C$1004,$B80))</f>
        <v/>
      </c>
      <c r="M80" s="54" t="str">
        <f>IF(AND(ISNUMBER($H80),$H80&gt;0,ISNUMBER($J80)),$J80/$H80,"")</f>
        <v/>
      </c>
      <c r="N80" s="55" t="str">
        <f>IF($B80="","",IF(COUNTIFS('UPDATE STATS'!$C$5:$C$1004,$B80,'UPDATE STATS'!$A$5:$A$1004,"&gt;0")=0,"",_xlfn.MAXIFS('UPDATE STATS'!$A$5:$A$1004,'UPDATE STATS'!$C$5:$C$1004,$B80)))</f>
        <v/>
      </c>
      <c r="O80" s="53" t="str">
        <f>IF($B80="","",IF($E80&lt;&gt;"Live","",IF($N80="","No stats yet",IF(ReportDate-$N80&gt;7,"Update needed",IF(AND(ISNUMBER($M80),$M80&lt;0.5),"Behind target","OK")))))</f>
        <v/>
      </c>
    </row>
    <row r="81">
      <c r="A81" s="48" t="n"/>
      <c r="B81" s="50" t="n"/>
      <c r="C81" s="48" t="n"/>
      <c r="D81" s="48" t="n"/>
      <c r="E81" s="48" t="n"/>
      <c r="F81" s="47" t="n"/>
      <c r="G81" s="47" t="n"/>
      <c r="H81" s="49" t="n"/>
      <c r="I81" s="50" t="n"/>
      <c r="J81" s="52" t="str">
        <f>IF($B81="","",SUMIFS('UPDATE STATS'!$L$5:$L$1004,'UPDATE STATS'!$C$5:$C$1004,$B81))</f>
        <v/>
      </c>
      <c r="K81" s="52" t="str">
        <f>IF($B81="","",SUMIFS('UPDATE STATS'!$M$5:$M$1004,'UPDATE STATS'!$C$5:$C$1004,$B81))</f>
        <v/>
      </c>
      <c r="L81" s="52" t="str">
        <f>IF($B81="","",SUMIFS('UPDATE STATS'!$J$5:$J$1004,'UPDATE STATS'!$C$5:$C$1004,$B81))</f>
        <v/>
      </c>
      <c r="M81" s="54" t="str">
        <f>IF(AND(ISNUMBER($H81),$H81&gt;0,ISNUMBER($J81)),$J81/$H81,"")</f>
        <v/>
      </c>
      <c r="N81" s="55" t="str">
        <f>IF($B81="","",IF(COUNTIFS('UPDATE STATS'!$C$5:$C$1004,$B81,'UPDATE STATS'!$A$5:$A$1004,"&gt;0")=0,"",_xlfn.MAXIFS('UPDATE STATS'!$A$5:$A$1004,'UPDATE STATS'!$C$5:$C$1004,$B81)))</f>
        <v/>
      </c>
      <c r="O81" s="53" t="str">
        <f>IF($B81="","",IF($E81&lt;&gt;"Live","",IF($N81="","No stats yet",IF(ReportDate-$N81&gt;7,"Update needed",IF(AND(ISNUMBER($M81),$M81&lt;0.5),"Behind target","OK")))))</f>
        <v/>
      </c>
    </row>
    <row r="82">
      <c r="A82" s="48" t="n"/>
      <c r="B82" s="50" t="n"/>
      <c r="C82" s="48" t="n"/>
      <c r="D82" s="48" t="n"/>
      <c r="E82" s="48" t="n"/>
      <c r="F82" s="47" t="n"/>
      <c r="G82" s="47" t="n"/>
      <c r="H82" s="49" t="n"/>
      <c r="I82" s="50" t="n"/>
      <c r="J82" s="52" t="str">
        <f>IF($B82="","",SUMIFS('UPDATE STATS'!$L$5:$L$1004,'UPDATE STATS'!$C$5:$C$1004,$B82))</f>
        <v/>
      </c>
      <c r="K82" s="52" t="str">
        <f>IF($B82="","",SUMIFS('UPDATE STATS'!$M$5:$M$1004,'UPDATE STATS'!$C$5:$C$1004,$B82))</f>
        <v/>
      </c>
      <c r="L82" s="52" t="str">
        <f>IF($B82="","",SUMIFS('UPDATE STATS'!$J$5:$J$1004,'UPDATE STATS'!$C$5:$C$1004,$B82))</f>
        <v/>
      </c>
      <c r="M82" s="54" t="str">
        <f>IF(AND(ISNUMBER($H82),$H82&gt;0,ISNUMBER($J82)),$J82/$H82,"")</f>
        <v/>
      </c>
      <c r="N82" s="55" t="str">
        <f>IF($B82="","",IF(COUNTIFS('UPDATE STATS'!$C$5:$C$1004,$B82,'UPDATE STATS'!$A$5:$A$1004,"&gt;0")=0,"",_xlfn.MAXIFS('UPDATE STATS'!$A$5:$A$1004,'UPDATE STATS'!$C$5:$C$1004,$B82)))</f>
        <v/>
      </c>
      <c r="O82" s="53" t="str">
        <f>IF($B82="","",IF($E82&lt;&gt;"Live","",IF($N82="","No stats yet",IF(ReportDate-$N82&gt;7,"Update needed",IF(AND(ISNUMBER($M82),$M82&lt;0.5),"Behind target","OK")))))</f>
        <v/>
      </c>
    </row>
    <row r="83">
      <c r="A83" s="48" t="n"/>
      <c r="B83" s="50" t="n"/>
      <c r="C83" s="48" t="n"/>
      <c r="D83" s="48" t="n"/>
      <c r="E83" s="48" t="n"/>
      <c r="F83" s="47" t="n"/>
      <c r="G83" s="47" t="n"/>
      <c r="H83" s="49" t="n"/>
      <c r="I83" s="50" t="n"/>
      <c r="J83" s="52" t="str">
        <f>IF($B83="","",SUMIFS('UPDATE STATS'!$L$5:$L$1004,'UPDATE STATS'!$C$5:$C$1004,$B83))</f>
        <v/>
      </c>
      <c r="K83" s="52" t="str">
        <f>IF($B83="","",SUMIFS('UPDATE STATS'!$M$5:$M$1004,'UPDATE STATS'!$C$5:$C$1004,$B83))</f>
        <v/>
      </c>
      <c r="L83" s="52" t="str">
        <f>IF($B83="","",SUMIFS('UPDATE STATS'!$J$5:$J$1004,'UPDATE STATS'!$C$5:$C$1004,$B83))</f>
        <v/>
      </c>
      <c r="M83" s="54" t="str">
        <f>IF(AND(ISNUMBER($H83),$H83&gt;0,ISNUMBER($J83)),$J83/$H83,"")</f>
        <v/>
      </c>
      <c r="N83" s="55" t="str">
        <f>IF($B83="","",IF(COUNTIFS('UPDATE STATS'!$C$5:$C$1004,$B83,'UPDATE STATS'!$A$5:$A$1004,"&gt;0")=0,"",_xlfn.MAXIFS('UPDATE STATS'!$A$5:$A$1004,'UPDATE STATS'!$C$5:$C$1004,$B83)))</f>
        <v/>
      </c>
      <c r="O83" s="53" t="str">
        <f>IF($B83="","",IF($E83&lt;&gt;"Live","",IF($N83="","No stats yet",IF(ReportDate-$N83&gt;7,"Update needed",IF(AND(ISNUMBER($M83),$M83&lt;0.5),"Behind target","OK")))))</f>
        <v/>
      </c>
    </row>
    <row r="84">
      <c r="A84" s="48" t="n"/>
      <c r="B84" s="50" t="n"/>
      <c r="C84" s="48" t="n"/>
      <c r="D84" s="48" t="n"/>
      <c r="E84" s="48" t="n"/>
      <c r="F84" s="47" t="n"/>
      <c r="G84" s="47" t="n"/>
      <c r="H84" s="49" t="n"/>
      <c r="I84" s="50" t="n"/>
      <c r="J84" s="52" t="str">
        <f>IF($B84="","",SUMIFS('UPDATE STATS'!$L$5:$L$1004,'UPDATE STATS'!$C$5:$C$1004,$B84))</f>
        <v/>
      </c>
      <c r="K84" s="52" t="str">
        <f>IF($B84="","",SUMIFS('UPDATE STATS'!$M$5:$M$1004,'UPDATE STATS'!$C$5:$C$1004,$B84))</f>
        <v/>
      </c>
      <c r="L84" s="52" t="str">
        <f>IF($B84="","",SUMIFS('UPDATE STATS'!$J$5:$J$1004,'UPDATE STATS'!$C$5:$C$1004,$B84))</f>
        <v/>
      </c>
      <c r="M84" s="54" t="str">
        <f>IF(AND(ISNUMBER($H84),$H84&gt;0,ISNUMBER($J84)),$J84/$H84,"")</f>
        <v/>
      </c>
      <c r="N84" s="55" t="str">
        <f>IF($B84="","",IF(COUNTIFS('UPDATE STATS'!$C$5:$C$1004,$B84,'UPDATE STATS'!$A$5:$A$1004,"&gt;0")=0,"",_xlfn.MAXIFS('UPDATE STATS'!$A$5:$A$1004,'UPDATE STATS'!$C$5:$C$1004,$B84)))</f>
        <v/>
      </c>
      <c r="O84" s="53" t="str">
        <f>IF($B84="","",IF($E84&lt;&gt;"Live","",IF($N84="","No stats yet",IF(ReportDate-$N84&gt;7,"Update needed",IF(AND(ISNUMBER($M84),$M84&lt;0.5),"Behind target","OK")))))</f>
        <v/>
      </c>
    </row>
    <row r="85">
      <c r="A85" s="48" t="n"/>
      <c r="B85" s="50" t="n"/>
      <c r="C85" s="48" t="n"/>
      <c r="D85" s="48" t="n"/>
      <c r="E85" s="48" t="n"/>
      <c r="F85" s="47" t="n"/>
      <c r="G85" s="47" t="n"/>
      <c r="H85" s="49" t="n"/>
      <c r="I85" s="50" t="n"/>
      <c r="J85" s="52" t="str">
        <f>IF($B85="","",SUMIFS('UPDATE STATS'!$L$5:$L$1004,'UPDATE STATS'!$C$5:$C$1004,$B85))</f>
        <v/>
      </c>
      <c r="K85" s="52" t="str">
        <f>IF($B85="","",SUMIFS('UPDATE STATS'!$M$5:$M$1004,'UPDATE STATS'!$C$5:$C$1004,$B85))</f>
        <v/>
      </c>
      <c r="L85" s="52" t="str">
        <f>IF($B85="","",SUMIFS('UPDATE STATS'!$J$5:$J$1004,'UPDATE STATS'!$C$5:$C$1004,$B85))</f>
        <v/>
      </c>
      <c r="M85" s="54" t="str">
        <f>IF(AND(ISNUMBER($H85),$H85&gt;0,ISNUMBER($J85)),$J85/$H85,"")</f>
        <v/>
      </c>
      <c r="N85" s="55" t="str">
        <f>IF($B85="","",IF(COUNTIFS('UPDATE STATS'!$C$5:$C$1004,$B85,'UPDATE STATS'!$A$5:$A$1004,"&gt;0")=0,"",_xlfn.MAXIFS('UPDATE STATS'!$A$5:$A$1004,'UPDATE STATS'!$C$5:$C$1004,$B85)))</f>
        <v/>
      </c>
      <c r="O85" s="53" t="str">
        <f>IF($B85="","",IF($E85&lt;&gt;"Live","",IF($N85="","No stats yet",IF(ReportDate-$N85&gt;7,"Update needed",IF(AND(ISNUMBER($M85),$M85&lt;0.5),"Behind target","OK")))))</f>
        <v/>
      </c>
    </row>
    <row r="86">
      <c r="A86" s="48" t="n"/>
      <c r="B86" s="50" t="n"/>
      <c r="C86" s="48" t="n"/>
      <c r="D86" s="48" t="n"/>
      <c r="E86" s="48" t="n"/>
      <c r="F86" s="47" t="n"/>
      <c r="G86" s="47" t="n"/>
      <c r="H86" s="49" t="n"/>
      <c r="I86" s="50" t="n"/>
      <c r="J86" s="52" t="str">
        <f>IF($B86="","",SUMIFS('UPDATE STATS'!$L$5:$L$1004,'UPDATE STATS'!$C$5:$C$1004,$B86))</f>
        <v/>
      </c>
      <c r="K86" s="52" t="str">
        <f>IF($B86="","",SUMIFS('UPDATE STATS'!$M$5:$M$1004,'UPDATE STATS'!$C$5:$C$1004,$B86))</f>
        <v/>
      </c>
      <c r="L86" s="52" t="str">
        <f>IF($B86="","",SUMIFS('UPDATE STATS'!$J$5:$J$1004,'UPDATE STATS'!$C$5:$C$1004,$B86))</f>
        <v/>
      </c>
      <c r="M86" s="54" t="str">
        <f>IF(AND(ISNUMBER($H86),$H86&gt;0,ISNUMBER($J86)),$J86/$H86,"")</f>
        <v/>
      </c>
      <c r="N86" s="55" t="str">
        <f>IF($B86="","",IF(COUNTIFS('UPDATE STATS'!$C$5:$C$1004,$B86,'UPDATE STATS'!$A$5:$A$1004,"&gt;0")=0,"",_xlfn.MAXIFS('UPDATE STATS'!$A$5:$A$1004,'UPDATE STATS'!$C$5:$C$1004,$B86)))</f>
        <v/>
      </c>
      <c r="O86" s="53" t="str">
        <f>IF($B86="","",IF($E86&lt;&gt;"Live","",IF($N86="","No stats yet",IF(ReportDate-$N86&gt;7,"Update needed",IF(AND(ISNUMBER($M86),$M86&lt;0.5),"Behind target","OK")))))</f>
        <v/>
      </c>
    </row>
    <row r="87">
      <c r="A87" s="48" t="n"/>
      <c r="B87" s="50" t="n"/>
      <c r="C87" s="48" t="n"/>
      <c r="D87" s="48" t="n"/>
      <c r="E87" s="48" t="n"/>
      <c r="F87" s="47" t="n"/>
      <c r="G87" s="47" t="n"/>
      <c r="H87" s="49" t="n"/>
      <c r="I87" s="50" t="n"/>
      <c r="J87" s="52" t="str">
        <f>IF($B87="","",SUMIFS('UPDATE STATS'!$L$5:$L$1004,'UPDATE STATS'!$C$5:$C$1004,$B87))</f>
        <v/>
      </c>
      <c r="K87" s="52" t="str">
        <f>IF($B87="","",SUMIFS('UPDATE STATS'!$M$5:$M$1004,'UPDATE STATS'!$C$5:$C$1004,$B87))</f>
        <v/>
      </c>
      <c r="L87" s="52" t="str">
        <f>IF($B87="","",SUMIFS('UPDATE STATS'!$J$5:$J$1004,'UPDATE STATS'!$C$5:$C$1004,$B87))</f>
        <v/>
      </c>
      <c r="M87" s="54" t="str">
        <f>IF(AND(ISNUMBER($H87),$H87&gt;0,ISNUMBER($J87)),$J87/$H87,"")</f>
        <v/>
      </c>
      <c r="N87" s="55" t="str">
        <f>IF($B87="","",IF(COUNTIFS('UPDATE STATS'!$C$5:$C$1004,$B87,'UPDATE STATS'!$A$5:$A$1004,"&gt;0")=0,"",_xlfn.MAXIFS('UPDATE STATS'!$A$5:$A$1004,'UPDATE STATS'!$C$5:$C$1004,$B87)))</f>
        <v/>
      </c>
      <c r="O87" s="53" t="str">
        <f>IF($B87="","",IF($E87&lt;&gt;"Live","",IF($N87="","No stats yet",IF(ReportDate-$N87&gt;7,"Update needed",IF(AND(ISNUMBER($M87),$M87&lt;0.5),"Behind target","OK")))))</f>
        <v/>
      </c>
    </row>
    <row r="88">
      <c r="A88" s="48" t="n"/>
      <c r="B88" s="50" t="n"/>
      <c r="C88" s="48" t="n"/>
      <c r="D88" s="48" t="n"/>
      <c r="E88" s="48" t="n"/>
      <c r="F88" s="47" t="n"/>
      <c r="G88" s="47" t="n"/>
      <c r="H88" s="49" t="n"/>
      <c r="I88" s="50" t="n"/>
      <c r="J88" s="52" t="str">
        <f>IF($B88="","",SUMIFS('UPDATE STATS'!$L$5:$L$1004,'UPDATE STATS'!$C$5:$C$1004,$B88))</f>
        <v/>
      </c>
      <c r="K88" s="52" t="str">
        <f>IF($B88="","",SUMIFS('UPDATE STATS'!$M$5:$M$1004,'UPDATE STATS'!$C$5:$C$1004,$B88))</f>
        <v/>
      </c>
      <c r="L88" s="52" t="str">
        <f>IF($B88="","",SUMIFS('UPDATE STATS'!$J$5:$J$1004,'UPDATE STATS'!$C$5:$C$1004,$B88))</f>
        <v/>
      </c>
      <c r="M88" s="54" t="str">
        <f>IF(AND(ISNUMBER($H88),$H88&gt;0,ISNUMBER($J88)),$J88/$H88,"")</f>
        <v/>
      </c>
      <c r="N88" s="55" t="str">
        <f>IF($B88="","",IF(COUNTIFS('UPDATE STATS'!$C$5:$C$1004,$B88,'UPDATE STATS'!$A$5:$A$1004,"&gt;0")=0,"",_xlfn.MAXIFS('UPDATE STATS'!$A$5:$A$1004,'UPDATE STATS'!$C$5:$C$1004,$B88)))</f>
        <v/>
      </c>
      <c r="O88" s="53" t="str">
        <f>IF($B88="","",IF($E88&lt;&gt;"Live","",IF($N88="","No stats yet",IF(ReportDate-$N88&gt;7,"Update needed",IF(AND(ISNUMBER($M88),$M88&lt;0.5),"Behind target","OK")))))</f>
        <v/>
      </c>
    </row>
    <row r="89">
      <c r="A89" s="48" t="n"/>
      <c r="B89" s="50" t="n"/>
      <c r="C89" s="48" t="n"/>
      <c r="D89" s="48" t="n"/>
      <c r="E89" s="48" t="n"/>
      <c r="F89" s="47" t="n"/>
      <c r="G89" s="47" t="n"/>
      <c r="H89" s="49" t="n"/>
      <c r="I89" s="50" t="n"/>
      <c r="J89" s="52" t="str">
        <f>IF($B89="","",SUMIFS('UPDATE STATS'!$L$5:$L$1004,'UPDATE STATS'!$C$5:$C$1004,$B89))</f>
        <v/>
      </c>
      <c r="K89" s="52" t="str">
        <f>IF($B89="","",SUMIFS('UPDATE STATS'!$M$5:$M$1004,'UPDATE STATS'!$C$5:$C$1004,$B89))</f>
        <v/>
      </c>
      <c r="L89" s="52" t="str">
        <f>IF($B89="","",SUMIFS('UPDATE STATS'!$J$5:$J$1004,'UPDATE STATS'!$C$5:$C$1004,$B89))</f>
        <v/>
      </c>
      <c r="M89" s="54" t="str">
        <f>IF(AND(ISNUMBER($H89),$H89&gt;0,ISNUMBER($J89)),$J89/$H89,"")</f>
        <v/>
      </c>
      <c r="N89" s="55" t="str">
        <f>IF($B89="","",IF(COUNTIFS('UPDATE STATS'!$C$5:$C$1004,$B89,'UPDATE STATS'!$A$5:$A$1004,"&gt;0")=0,"",_xlfn.MAXIFS('UPDATE STATS'!$A$5:$A$1004,'UPDATE STATS'!$C$5:$C$1004,$B89)))</f>
        <v/>
      </c>
      <c r="O89" s="53" t="str">
        <f>IF($B89="","",IF($E89&lt;&gt;"Live","",IF($N89="","No stats yet",IF(ReportDate-$N89&gt;7,"Update needed",IF(AND(ISNUMBER($M89),$M89&lt;0.5),"Behind target","OK")))))</f>
        <v/>
      </c>
    </row>
    <row r="90">
      <c r="A90" s="48" t="n"/>
      <c r="B90" s="50" t="n"/>
      <c r="C90" s="48" t="n"/>
      <c r="D90" s="48" t="n"/>
      <c r="E90" s="48" t="n"/>
      <c r="F90" s="47" t="n"/>
      <c r="G90" s="47" t="n"/>
      <c r="H90" s="49" t="n"/>
      <c r="I90" s="50" t="n"/>
      <c r="J90" s="52" t="str">
        <f>IF($B90="","",SUMIFS('UPDATE STATS'!$L$5:$L$1004,'UPDATE STATS'!$C$5:$C$1004,$B90))</f>
        <v/>
      </c>
      <c r="K90" s="52" t="str">
        <f>IF($B90="","",SUMIFS('UPDATE STATS'!$M$5:$M$1004,'UPDATE STATS'!$C$5:$C$1004,$B90))</f>
        <v/>
      </c>
      <c r="L90" s="52" t="str">
        <f>IF($B90="","",SUMIFS('UPDATE STATS'!$J$5:$J$1004,'UPDATE STATS'!$C$5:$C$1004,$B90))</f>
        <v/>
      </c>
      <c r="M90" s="54" t="str">
        <f>IF(AND(ISNUMBER($H90),$H90&gt;0,ISNUMBER($J90)),$J90/$H90,"")</f>
        <v/>
      </c>
      <c r="N90" s="55" t="str">
        <f>IF($B90="","",IF(COUNTIFS('UPDATE STATS'!$C$5:$C$1004,$B90,'UPDATE STATS'!$A$5:$A$1004,"&gt;0")=0,"",_xlfn.MAXIFS('UPDATE STATS'!$A$5:$A$1004,'UPDATE STATS'!$C$5:$C$1004,$B90)))</f>
        <v/>
      </c>
      <c r="O90" s="53" t="str">
        <f>IF($B90="","",IF($E90&lt;&gt;"Live","",IF($N90="","No stats yet",IF(ReportDate-$N90&gt;7,"Update needed",IF(AND(ISNUMBER($M90),$M90&lt;0.5),"Behind target","OK")))))</f>
        <v/>
      </c>
    </row>
    <row r="91">
      <c r="A91" s="48" t="n"/>
      <c r="B91" s="50" t="n"/>
      <c r="C91" s="48" t="n"/>
      <c r="D91" s="48" t="n"/>
      <c r="E91" s="48" t="n"/>
      <c r="F91" s="47" t="n"/>
      <c r="G91" s="47" t="n"/>
      <c r="H91" s="49" t="n"/>
      <c r="I91" s="50" t="n"/>
      <c r="J91" s="52" t="str">
        <f>IF($B91="","",SUMIFS('UPDATE STATS'!$L$5:$L$1004,'UPDATE STATS'!$C$5:$C$1004,$B91))</f>
        <v/>
      </c>
      <c r="K91" s="52" t="str">
        <f>IF($B91="","",SUMIFS('UPDATE STATS'!$M$5:$M$1004,'UPDATE STATS'!$C$5:$C$1004,$B91))</f>
        <v/>
      </c>
      <c r="L91" s="52" t="str">
        <f>IF($B91="","",SUMIFS('UPDATE STATS'!$J$5:$J$1004,'UPDATE STATS'!$C$5:$C$1004,$B91))</f>
        <v/>
      </c>
      <c r="M91" s="54" t="str">
        <f>IF(AND(ISNUMBER($H91),$H91&gt;0,ISNUMBER($J91)),$J91/$H91,"")</f>
        <v/>
      </c>
      <c r="N91" s="55" t="str">
        <f>IF($B91="","",IF(COUNTIFS('UPDATE STATS'!$C$5:$C$1004,$B91,'UPDATE STATS'!$A$5:$A$1004,"&gt;0")=0,"",_xlfn.MAXIFS('UPDATE STATS'!$A$5:$A$1004,'UPDATE STATS'!$C$5:$C$1004,$B91)))</f>
        <v/>
      </c>
      <c r="O91" s="53" t="str">
        <f>IF($B91="","",IF($E91&lt;&gt;"Live","",IF($N91="","No stats yet",IF(ReportDate-$N91&gt;7,"Update needed",IF(AND(ISNUMBER($M91),$M91&lt;0.5),"Behind target","OK")))))</f>
        <v/>
      </c>
    </row>
    <row r="92">
      <c r="A92" s="48" t="n"/>
      <c r="B92" s="50" t="n"/>
      <c r="C92" s="48" t="n"/>
      <c r="D92" s="48" t="n"/>
      <c r="E92" s="48" t="n"/>
      <c r="F92" s="47" t="n"/>
      <c r="G92" s="47" t="n"/>
      <c r="H92" s="49" t="n"/>
      <c r="I92" s="50" t="n"/>
      <c r="J92" s="52" t="str">
        <f>IF($B92="","",SUMIFS('UPDATE STATS'!$L$5:$L$1004,'UPDATE STATS'!$C$5:$C$1004,$B92))</f>
        <v/>
      </c>
      <c r="K92" s="52" t="str">
        <f>IF($B92="","",SUMIFS('UPDATE STATS'!$M$5:$M$1004,'UPDATE STATS'!$C$5:$C$1004,$B92))</f>
        <v/>
      </c>
      <c r="L92" s="52" t="str">
        <f>IF($B92="","",SUMIFS('UPDATE STATS'!$J$5:$J$1004,'UPDATE STATS'!$C$5:$C$1004,$B92))</f>
        <v/>
      </c>
      <c r="M92" s="54" t="str">
        <f>IF(AND(ISNUMBER($H92),$H92&gt;0,ISNUMBER($J92)),$J92/$H92,"")</f>
        <v/>
      </c>
      <c r="N92" s="55" t="str">
        <f>IF($B92="","",IF(COUNTIFS('UPDATE STATS'!$C$5:$C$1004,$B92,'UPDATE STATS'!$A$5:$A$1004,"&gt;0")=0,"",_xlfn.MAXIFS('UPDATE STATS'!$A$5:$A$1004,'UPDATE STATS'!$C$5:$C$1004,$B92)))</f>
        <v/>
      </c>
      <c r="O92" s="53" t="str">
        <f>IF($B92="","",IF($E92&lt;&gt;"Live","",IF($N92="","No stats yet",IF(ReportDate-$N92&gt;7,"Update needed",IF(AND(ISNUMBER($M92),$M92&lt;0.5),"Behind target","OK")))))</f>
        <v/>
      </c>
    </row>
    <row r="93">
      <c r="A93" s="48" t="n"/>
      <c r="B93" s="50" t="n"/>
      <c r="C93" s="48" t="n"/>
      <c r="D93" s="48" t="n"/>
      <c r="E93" s="48" t="n"/>
      <c r="F93" s="47" t="n"/>
      <c r="G93" s="47" t="n"/>
      <c r="H93" s="49" t="n"/>
      <c r="I93" s="50" t="n"/>
      <c r="J93" s="52" t="str">
        <f>IF($B93="","",SUMIFS('UPDATE STATS'!$L$5:$L$1004,'UPDATE STATS'!$C$5:$C$1004,$B93))</f>
        <v/>
      </c>
      <c r="K93" s="52" t="str">
        <f>IF($B93="","",SUMIFS('UPDATE STATS'!$M$5:$M$1004,'UPDATE STATS'!$C$5:$C$1004,$B93))</f>
        <v/>
      </c>
      <c r="L93" s="52" t="str">
        <f>IF($B93="","",SUMIFS('UPDATE STATS'!$J$5:$J$1004,'UPDATE STATS'!$C$5:$C$1004,$B93))</f>
        <v/>
      </c>
      <c r="M93" s="54" t="str">
        <f>IF(AND(ISNUMBER($H93),$H93&gt;0,ISNUMBER($J93)),$J93/$H93,"")</f>
        <v/>
      </c>
      <c r="N93" s="55" t="str">
        <f>IF($B93="","",IF(COUNTIFS('UPDATE STATS'!$C$5:$C$1004,$B93,'UPDATE STATS'!$A$5:$A$1004,"&gt;0")=0,"",_xlfn.MAXIFS('UPDATE STATS'!$A$5:$A$1004,'UPDATE STATS'!$C$5:$C$1004,$B93)))</f>
        <v/>
      </c>
      <c r="O93" s="53" t="str">
        <f>IF($B93="","",IF($E93&lt;&gt;"Live","",IF($N93="","No stats yet",IF(ReportDate-$N93&gt;7,"Update needed",IF(AND(ISNUMBER($M93),$M93&lt;0.5),"Behind target","OK")))))</f>
        <v/>
      </c>
    </row>
    <row r="94">
      <c r="A94" s="48" t="n"/>
      <c r="B94" s="50" t="n"/>
      <c r="C94" s="48" t="n"/>
      <c r="D94" s="48" t="n"/>
      <c r="E94" s="48" t="n"/>
      <c r="F94" s="47" t="n"/>
      <c r="G94" s="47" t="n"/>
      <c r="H94" s="49" t="n"/>
      <c r="I94" s="50" t="n"/>
      <c r="J94" s="52" t="str">
        <f>IF($B94="","",SUMIFS('UPDATE STATS'!$L$5:$L$1004,'UPDATE STATS'!$C$5:$C$1004,$B94))</f>
        <v/>
      </c>
      <c r="K94" s="52" t="str">
        <f>IF($B94="","",SUMIFS('UPDATE STATS'!$M$5:$M$1004,'UPDATE STATS'!$C$5:$C$1004,$B94))</f>
        <v/>
      </c>
      <c r="L94" s="52" t="str">
        <f>IF($B94="","",SUMIFS('UPDATE STATS'!$J$5:$J$1004,'UPDATE STATS'!$C$5:$C$1004,$B94))</f>
        <v/>
      </c>
      <c r="M94" s="54" t="str">
        <f>IF(AND(ISNUMBER($H94),$H94&gt;0,ISNUMBER($J94)),$J94/$H94,"")</f>
        <v/>
      </c>
      <c r="N94" s="55" t="str">
        <f>IF($B94="","",IF(COUNTIFS('UPDATE STATS'!$C$5:$C$1004,$B94,'UPDATE STATS'!$A$5:$A$1004,"&gt;0")=0,"",_xlfn.MAXIFS('UPDATE STATS'!$A$5:$A$1004,'UPDATE STATS'!$C$5:$C$1004,$B94)))</f>
        <v/>
      </c>
      <c r="O94" s="53" t="str">
        <f>IF($B94="","",IF($E94&lt;&gt;"Live","",IF($N94="","No stats yet",IF(ReportDate-$N94&gt;7,"Update needed",IF(AND(ISNUMBER($M94),$M94&lt;0.5),"Behind target","OK")))))</f>
        <v/>
      </c>
    </row>
    <row r="95">
      <c r="A95" s="48" t="n"/>
      <c r="B95" s="50" t="n"/>
      <c r="C95" s="48" t="n"/>
      <c r="D95" s="48" t="n"/>
      <c r="E95" s="48" t="n"/>
      <c r="F95" s="47" t="n"/>
      <c r="G95" s="47" t="n"/>
      <c r="H95" s="49" t="n"/>
      <c r="I95" s="50" t="n"/>
      <c r="J95" s="52" t="str">
        <f>IF($B95="","",SUMIFS('UPDATE STATS'!$L$5:$L$1004,'UPDATE STATS'!$C$5:$C$1004,$B95))</f>
        <v/>
      </c>
      <c r="K95" s="52" t="str">
        <f>IF($B95="","",SUMIFS('UPDATE STATS'!$M$5:$M$1004,'UPDATE STATS'!$C$5:$C$1004,$B95))</f>
        <v/>
      </c>
      <c r="L95" s="52" t="str">
        <f>IF($B95="","",SUMIFS('UPDATE STATS'!$J$5:$J$1004,'UPDATE STATS'!$C$5:$C$1004,$B95))</f>
        <v/>
      </c>
      <c r="M95" s="54" t="str">
        <f>IF(AND(ISNUMBER($H95),$H95&gt;0,ISNUMBER($J95)),$J95/$H95,"")</f>
        <v/>
      </c>
      <c r="N95" s="55" t="str">
        <f>IF($B95="","",IF(COUNTIFS('UPDATE STATS'!$C$5:$C$1004,$B95,'UPDATE STATS'!$A$5:$A$1004,"&gt;0")=0,"",_xlfn.MAXIFS('UPDATE STATS'!$A$5:$A$1004,'UPDATE STATS'!$C$5:$C$1004,$B95)))</f>
        <v/>
      </c>
      <c r="O95" s="53" t="str">
        <f>IF($B95="","",IF($E95&lt;&gt;"Live","",IF($N95="","No stats yet",IF(ReportDate-$N95&gt;7,"Update needed",IF(AND(ISNUMBER($M95),$M95&lt;0.5),"Behind target","OK")))))</f>
        <v/>
      </c>
    </row>
    <row r="96">
      <c r="A96" s="48" t="n"/>
      <c r="B96" s="50" t="n"/>
      <c r="C96" s="48" t="n"/>
      <c r="D96" s="48" t="n"/>
      <c r="E96" s="48" t="n"/>
      <c r="F96" s="47" t="n"/>
      <c r="G96" s="47" t="n"/>
      <c r="H96" s="49" t="n"/>
      <c r="I96" s="50" t="n"/>
      <c r="J96" s="52" t="str">
        <f>IF($B96="","",SUMIFS('UPDATE STATS'!$L$5:$L$1004,'UPDATE STATS'!$C$5:$C$1004,$B96))</f>
        <v/>
      </c>
      <c r="K96" s="52" t="str">
        <f>IF($B96="","",SUMIFS('UPDATE STATS'!$M$5:$M$1004,'UPDATE STATS'!$C$5:$C$1004,$B96))</f>
        <v/>
      </c>
      <c r="L96" s="52" t="str">
        <f>IF($B96="","",SUMIFS('UPDATE STATS'!$J$5:$J$1004,'UPDATE STATS'!$C$5:$C$1004,$B96))</f>
        <v/>
      </c>
      <c r="M96" s="54" t="str">
        <f>IF(AND(ISNUMBER($H96),$H96&gt;0,ISNUMBER($J96)),$J96/$H96,"")</f>
        <v/>
      </c>
      <c r="N96" s="55" t="str">
        <f>IF($B96="","",IF(COUNTIFS('UPDATE STATS'!$C$5:$C$1004,$B96,'UPDATE STATS'!$A$5:$A$1004,"&gt;0")=0,"",_xlfn.MAXIFS('UPDATE STATS'!$A$5:$A$1004,'UPDATE STATS'!$C$5:$C$1004,$B96)))</f>
        <v/>
      </c>
      <c r="O96" s="53" t="str">
        <f>IF($B96="","",IF($E96&lt;&gt;"Live","",IF($N96="","No stats yet",IF(ReportDate-$N96&gt;7,"Update needed",IF(AND(ISNUMBER($M96),$M96&lt;0.5),"Behind target","OK")))))</f>
        <v/>
      </c>
    </row>
    <row r="97">
      <c r="A97" s="48" t="n"/>
      <c r="B97" s="50" t="n"/>
      <c r="C97" s="48" t="n"/>
      <c r="D97" s="48" t="n"/>
      <c r="E97" s="48" t="n"/>
      <c r="F97" s="47" t="n"/>
      <c r="G97" s="47" t="n"/>
      <c r="H97" s="49" t="n"/>
      <c r="I97" s="50" t="n"/>
      <c r="J97" s="52" t="str">
        <f>IF($B97="","",SUMIFS('UPDATE STATS'!$L$5:$L$1004,'UPDATE STATS'!$C$5:$C$1004,$B97))</f>
        <v/>
      </c>
      <c r="K97" s="52" t="str">
        <f>IF($B97="","",SUMIFS('UPDATE STATS'!$M$5:$M$1004,'UPDATE STATS'!$C$5:$C$1004,$B97))</f>
        <v/>
      </c>
      <c r="L97" s="52" t="str">
        <f>IF($B97="","",SUMIFS('UPDATE STATS'!$J$5:$J$1004,'UPDATE STATS'!$C$5:$C$1004,$B97))</f>
        <v/>
      </c>
      <c r="M97" s="54" t="str">
        <f>IF(AND(ISNUMBER($H97),$H97&gt;0,ISNUMBER($J97)),$J97/$H97,"")</f>
        <v/>
      </c>
      <c r="N97" s="55" t="str">
        <f>IF($B97="","",IF(COUNTIFS('UPDATE STATS'!$C$5:$C$1004,$B97,'UPDATE STATS'!$A$5:$A$1004,"&gt;0")=0,"",_xlfn.MAXIFS('UPDATE STATS'!$A$5:$A$1004,'UPDATE STATS'!$C$5:$C$1004,$B97)))</f>
        <v/>
      </c>
      <c r="O97" s="53" t="str">
        <f>IF($B97="","",IF($E97&lt;&gt;"Live","",IF($N97="","No stats yet",IF(ReportDate-$N97&gt;7,"Update needed",IF(AND(ISNUMBER($M97),$M97&lt;0.5),"Behind target","OK")))))</f>
        <v/>
      </c>
    </row>
    <row r="98">
      <c r="A98" s="48" t="n"/>
      <c r="B98" s="50" t="n"/>
      <c r="C98" s="48" t="n"/>
      <c r="D98" s="48" t="n"/>
      <c r="E98" s="48" t="n"/>
      <c r="F98" s="47" t="n"/>
      <c r="G98" s="47" t="n"/>
      <c r="H98" s="49" t="n"/>
      <c r="I98" s="50" t="n"/>
      <c r="J98" s="52" t="str">
        <f>IF($B98="","",SUMIFS('UPDATE STATS'!$L$5:$L$1004,'UPDATE STATS'!$C$5:$C$1004,$B98))</f>
        <v/>
      </c>
      <c r="K98" s="52" t="str">
        <f>IF($B98="","",SUMIFS('UPDATE STATS'!$M$5:$M$1004,'UPDATE STATS'!$C$5:$C$1004,$B98))</f>
        <v/>
      </c>
      <c r="L98" s="52" t="str">
        <f>IF($B98="","",SUMIFS('UPDATE STATS'!$J$5:$J$1004,'UPDATE STATS'!$C$5:$C$1004,$B98))</f>
        <v/>
      </c>
      <c r="M98" s="54" t="str">
        <f>IF(AND(ISNUMBER($H98),$H98&gt;0,ISNUMBER($J98)),$J98/$H98,"")</f>
        <v/>
      </c>
      <c r="N98" s="55" t="str">
        <f>IF($B98="","",IF(COUNTIFS('UPDATE STATS'!$C$5:$C$1004,$B98,'UPDATE STATS'!$A$5:$A$1004,"&gt;0")=0,"",_xlfn.MAXIFS('UPDATE STATS'!$A$5:$A$1004,'UPDATE STATS'!$C$5:$C$1004,$B98)))</f>
        <v/>
      </c>
      <c r="O98" s="53" t="str">
        <f>IF($B98="","",IF($E98&lt;&gt;"Live","",IF($N98="","No stats yet",IF(ReportDate-$N98&gt;7,"Update needed",IF(AND(ISNUMBER($M98),$M98&lt;0.5),"Behind target","OK")))))</f>
        <v/>
      </c>
    </row>
    <row r="99">
      <c r="A99" s="48" t="n"/>
      <c r="B99" s="50" t="n"/>
      <c r="C99" s="48" t="n"/>
      <c r="D99" s="48" t="n"/>
      <c r="E99" s="48" t="n"/>
      <c r="F99" s="47" t="n"/>
      <c r="G99" s="47" t="n"/>
      <c r="H99" s="49" t="n"/>
      <c r="I99" s="50" t="n"/>
      <c r="J99" s="52" t="str">
        <f>IF($B99="","",SUMIFS('UPDATE STATS'!$L$5:$L$1004,'UPDATE STATS'!$C$5:$C$1004,$B99))</f>
        <v/>
      </c>
      <c r="K99" s="52" t="str">
        <f>IF($B99="","",SUMIFS('UPDATE STATS'!$M$5:$M$1004,'UPDATE STATS'!$C$5:$C$1004,$B99))</f>
        <v/>
      </c>
      <c r="L99" s="52" t="str">
        <f>IF($B99="","",SUMIFS('UPDATE STATS'!$J$5:$J$1004,'UPDATE STATS'!$C$5:$C$1004,$B99))</f>
        <v/>
      </c>
      <c r="M99" s="54" t="str">
        <f>IF(AND(ISNUMBER($H99),$H99&gt;0,ISNUMBER($J99)),$J99/$H99,"")</f>
        <v/>
      </c>
      <c r="N99" s="55" t="str">
        <f>IF($B99="","",IF(COUNTIFS('UPDATE STATS'!$C$5:$C$1004,$B99,'UPDATE STATS'!$A$5:$A$1004,"&gt;0")=0,"",_xlfn.MAXIFS('UPDATE STATS'!$A$5:$A$1004,'UPDATE STATS'!$C$5:$C$1004,$B99)))</f>
        <v/>
      </c>
      <c r="O99" s="53" t="str">
        <f>IF($B99="","",IF($E99&lt;&gt;"Live","",IF($N99="","No stats yet",IF(ReportDate-$N99&gt;7,"Update needed",IF(AND(ISNUMBER($M99),$M99&lt;0.5),"Behind target","OK")))))</f>
        <v/>
      </c>
    </row>
    <row r="100">
      <c r="A100" s="48" t="n"/>
      <c r="B100" s="50" t="n"/>
      <c r="C100" s="48" t="n"/>
      <c r="D100" s="48" t="n"/>
      <c r="E100" s="48" t="n"/>
      <c r="F100" s="47" t="n"/>
      <c r="G100" s="47" t="n"/>
      <c r="H100" s="49" t="n"/>
      <c r="I100" s="50" t="n"/>
      <c r="J100" s="52" t="str">
        <f>IF($B100="","",SUMIFS('UPDATE STATS'!$L$5:$L$1004,'UPDATE STATS'!$C$5:$C$1004,$B100))</f>
        <v/>
      </c>
      <c r="K100" s="52" t="str">
        <f>IF($B100="","",SUMIFS('UPDATE STATS'!$M$5:$M$1004,'UPDATE STATS'!$C$5:$C$1004,$B100))</f>
        <v/>
      </c>
      <c r="L100" s="52" t="str">
        <f>IF($B100="","",SUMIFS('UPDATE STATS'!$J$5:$J$1004,'UPDATE STATS'!$C$5:$C$1004,$B100))</f>
        <v/>
      </c>
      <c r="M100" s="54" t="str">
        <f>IF(AND(ISNUMBER($H100),$H100&gt;0,ISNUMBER($J100)),$J100/$H100,"")</f>
        <v/>
      </c>
      <c r="N100" s="55" t="str">
        <f>IF($B100="","",IF(COUNTIFS('UPDATE STATS'!$C$5:$C$1004,$B100,'UPDATE STATS'!$A$5:$A$1004,"&gt;0")=0,"",_xlfn.MAXIFS('UPDATE STATS'!$A$5:$A$1004,'UPDATE STATS'!$C$5:$C$1004,$B100)))</f>
        <v/>
      </c>
      <c r="O100" s="53" t="str">
        <f>IF($B100="","",IF($E100&lt;&gt;"Live","",IF($N100="","No stats yet",IF(ReportDate-$N100&gt;7,"Update needed",IF(AND(ISNUMBER($M100),$M100&lt;0.5),"Behind target","OK")))))</f>
        <v/>
      </c>
    </row>
    <row r="101">
      <c r="A101" s="48" t="n"/>
      <c r="B101" s="50" t="n"/>
      <c r="C101" s="48" t="n"/>
      <c r="D101" s="48" t="n"/>
      <c r="E101" s="48" t="n"/>
      <c r="F101" s="47" t="n"/>
      <c r="G101" s="47" t="n"/>
      <c r="H101" s="49" t="n"/>
      <c r="I101" s="50" t="n"/>
      <c r="J101" s="52" t="str">
        <f>IF($B101="","",SUMIFS('UPDATE STATS'!$L$5:$L$1004,'UPDATE STATS'!$C$5:$C$1004,$B101))</f>
        <v/>
      </c>
      <c r="K101" s="52" t="str">
        <f>IF($B101="","",SUMIFS('UPDATE STATS'!$M$5:$M$1004,'UPDATE STATS'!$C$5:$C$1004,$B101))</f>
        <v/>
      </c>
      <c r="L101" s="52" t="str">
        <f>IF($B101="","",SUMIFS('UPDATE STATS'!$J$5:$J$1004,'UPDATE STATS'!$C$5:$C$1004,$B101))</f>
        <v/>
      </c>
      <c r="M101" s="54" t="str">
        <f>IF(AND(ISNUMBER($H101),$H101&gt;0,ISNUMBER($J101)),$J101/$H101,"")</f>
        <v/>
      </c>
      <c r="N101" s="55" t="str">
        <f>IF($B101="","",IF(COUNTIFS('UPDATE STATS'!$C$5:$C$1004,$B101,'UPDATE STATS'!$A$5:$A$1004,"&gt;0")=0,"",_xlfn.MAXIFS('UPDATE STATS'!$A$5:$A$1004,'UPDATE STATS'!$C$5:$C$1004,$B101)))</f>
        <v/>
      </c>
      <c r="O101" s="53" t="str">
        <f>IF($B101="","",IF($E101&lt;&gt;"Live","",IF($N101="","No stats yet",IF(ReportDate-$N101&gt;7,"Update needed",IF(AND(ISNUMBER($M101),$M101&lt;0.5),"Behind target","OK")))))</f>
        <v/>
      </c>
    </row>
    <row r="102">
      <c r="A102" s="48" t="n"/>
      <c r="B102" s="50" t="n"/>
      <c r="C102" s="48" t="n"/>
      <c r="D102" s="48" t="n"/>
      <c r="E102" s="48" t="n"/>
      <c r="F102" s="47" t="n"/>
      <c r="G102" s="47" t="n"/>
      <c r="H102" s="49" t="n"/>
      <c r="I102" s="50" t="n"/>
      <c r="J102" s="52" t="str">
        <f>IF($B102="","",SUMIFS('UPDATE STATS'!$L$5:$L$1004,'UPDATE STATS'!$C$5:$C$1004,$B102))</f>
        <v/>
      </c>
      <c r="K102" s="52" t="str">
        <f>IF($B102="","",SUMIFS('UPDATE STATS'!$M$5:$M$1004,'UPDATE STATS'!$C$5:$C$1004,$B102))</f>
        <v/>
      </c>
      <c r="L102" s="52" t="str">
        <f>IF($B102="","",SUMIFS('UPDATE STATS'!$J$5:$J$1004,'UPDATE STATS'!$C$5:$C$1004,$B102))</f>
        <v/>
      </c>
      <c r="M102" s="54" t="str">
        <f>IF(AND(ISNUMBER($H102),$H102&gt;0,ISNUMBER($J102)),$J102/$H102,"")</f>
        <v/>
      </c>
      <c r="N102" s="55" t="str">
        <f>IF($B102="","",IF(COUNTIFS('UPDATE STATS'!$C$5:$C$1004,$B102,'UPDATE STATS'!$A$5:$A$1004,"&gt;0")=0,"",_xlfn.MAXIFS('UPDATE STATS'!$A$5:$A$1004,'UPDATE STATS'!$C$5:$C$1004,$B102)))</f>
        <v/>
      </c>
      <c r="O102" s="53" t="str">
        <f>IF($B102="","",IF($E102&lt;&gt;"Live","",IF($N102="","No stats yet",IF(ReportDate-$N102&gt;7,"Update needed",IF(AND(ISNUMBER($M102),$M102&lt;0.5),"Behind target","OK")))))</f>
        <v/>
      </c>
    </row>
    <row r="103">
      <c r="A103" s="48" t="n"/>
      <c r="B103" s="50" t="n"/>
      <c r="C103" s="48" t="n"/>
      <c r="D103" s="48" t="n"/>
      <c r="E103" s="48" t="n"/>
      <c r="F103" s="47" t="n"/>
      <c r="G103" s="47" t="n"/>
      <c r="H103" s="49" t="n"/>
      <c r="I103" s="50" t="n"/>
      <c r="J103" s="52" t="str">
        <f>IF($B103="","",SUMIFS('UPDATE STATS'!$L$5:$L$1004,'UPDATE STATS'!$C$5:$C$1004,$B103))</f>
        <v/>
      </c>
      <c r="K103" s="52" t="str">
        <f>IF($B103="","",SUMIFS('UPDATE STATS'!$M$5:$M$1004,'UPDATE STATS'!$C$5:$C$1004,$B103))</f>
        <v/>
      </c>
      <c r="L103" s="52" t="str">
        <f>IF($B103="","",SUMIFS('UPDATE STATS'!$J$5:$J$1004,'UPDATE STATS'!$C$5:$C$1004,$B103))</f>
        <v/>
      </c>
      <c r="M103" s="54" t="str">
        <f>IF(AND(ISNUMBER($H103),$H103&gt;0,ISNUMBER($J103)),$J103/$H103,"")</f>
        <v/>
      </c>
      <c r="N103" s="55" t="str">
        <f>IF($B103="","",IF(COUNTIFS('UPDATE STATS'!$C$5:$C$1004,$B103,'UPDATE STATS'!$A$5:$A$1004,"&gt;0")=0,"",_xlfn.MAXIFS('UPDATE STATS'!$A$5:$A$1004,'UPDATE STATS'!$C$5:$C$1004,$B103)))</f>
        <v/>
      </c>
      <c r="O103" s="53" t="str">
        <f>IF($B103="","",IF($E103&lt;&gt;"Live","",IF($N103="","No stats yet",IF(ReportDate-$N103&gt;7,"Update needed",IF(AND(ISNUMBER($M103),$M103&lt;0.5),"Behind target","OK")))))</f>
        <v/>
      </c>
    </row>
    <row r="104">
      <c r="A104" s="48" t="n"/>
      <c r="B104" s="50" t="n"/>
      <c r="C104" s="48" t="n"/>
      <c r="D104" s="48" t="n"/>
      <c r="E104" s="48" t="n"/>
      <c r="F104" s="47" t="n"/>
      <c r="G104" s="47" t="n"/>
      <c r="H104" s="49" t="n"/>
      <c r="I104" s="50" t="n"/>
      <c r="J104" s="52" t="str">
        <f>IF($B104="","",SUMIFS('UPDATE STATS'!$L$5:$L$1004,'UPDATE STATS'!$C$5:$C$1004,$B104))</f>
        <v/>
      </c>
      <c r="K104" s="52" t="str">
        <f>IF($B104="","",SUMIFS('UPDATE STATS'!$M$5:$M$1004,'UPDATE STATS'!$C$5:$C$1004,$B104))</f>
        <v/>
      </c>
      <c r="L104" s="52" t="str">
        <f>IF($B104="","",SUMIFS('UPDATE STATS'!$J$5:$J$1004,'UPDATE STATS'!$C$5:$C$1004,$B104))</f>
        <v/>
      </c>
      <c r="M104" s="54" t="str">
        <f>IF(AND(ISNUMBER($H104),$H104&gt;0,ISNUMBER($J104)),$J104/$H104,"")</f>
        <v/>
      </c>
      <c r="N104" s="55" t="str">
        <f>IF($B104="","",IF(COUNTIFS('UPDATE STATS'!$C$5:$C$1004,$B104,'UPDATE STATS'!$A$5:$A$1004,"&gt;0")=0,"",_xlfn.MAXIFS('UPDATE STATS'!$A$5:$A$1004,'UPDATE STATS'!$C$5:$C$1004,$B104)))</f>
        <v/>
      </c>
      <c r="O104" s="53" t="str">
        <f>IF($B104="","",IF($E104&lt;&gt;"Live","",IF($N104="","No stats yet",IF(ReportDate-$N104&gt;7,"Update needed",IF(AND(ISNUMBER($M104),$M104&lt;0.5),"Behind target","OK")))))</f>
        <v/>
      </c>
    </row>
  </sheetData>
  <mergeCells count="1">
    <mergeCell ref="A1:N1"/>
  </mergeCells>
  <conditionalFormatting sqref="O5:O104">
    <cfRule type="expression" priority="1" dxfId="4">
      <formula>$O5="Behind target"</formula>
    </cfRule>
    <cfRule type="expression" priority="2" dxfId="4">
      <formula>$O5="Update needed"</formula>
    </cfRule>
    <cfRule type="expression" priority="3" dxfId="3">
      <formula>$O5="No stats yet"</formula>
    </cfRule>
    <cfRule type="expression" priority="4" dxfId="5">
      <formula>$O5="OK"</formula>
    </cfRule>
  </conditionalFormatting>
  <dataValidations count="7">
    <dataValidation sqref="A5:A104" showDropDown="0" showInputMessage="0" showErrorMessage="1" allowBlank="1" errorTitle="Pick from list" error="Please choose a value from the dropdown (lists are maintained in MASTER DATA / CLIENT MASTER / CAMPAIGN MASTER)." type="list" errorStyle="stop">
      <formula1>=lst_Client</formula1>
    </dataValidation>
    <dataValidation sqref="C5:C104" showDropDown="0" showInputMessage="0" showErrorMessage="1" allowBlank="1" errorTitle="Pick from list" error="Please choose a value from the dropdown (lists are maintained in MASTER DATA / CLIENT MASTER / CAMPAIGN MASTER)." type="list" errorStyle="stop">
      <formula1>=lst_Channel</formula1>
    </dataValidation>
    <dataValidation sqref="D5:D104" showDropDown="0" showInputMessage="0" showErrorMessage="1" allowBlank="1" errorTitle="Pick from list" error="Please choose a value from the dropdown (lists are maintained in MASTER DATA / CLIENT MASTER / CAMPAIGN MASTER)." type="list" errorStyle="stop">
      <formula1>=lst_Team</formula1>
    </dataValidation>
    <dataValidation sqref="E5:E104" showDropDown="0" showInputMessage="0" showErrorMessage="1" allowBlank="1" errorTitle="Pick from list" error="Please choose a value from the dropdown (lists are maintained in MASTER DATA / CLIENT MASTER / CAMPAIGN MASTER)." type="list" errorStyle="stop">
      <formula1>=lst_CStatus</formula1>
    </dataValidation>
    <dataValidation sqref="F5:F104" showDropDown="0" showInputMessage="0" showErrorMessage="1" allowBlank="1" errorTitle="Invalid date" error="Enter a valid date, e.g. 05-Oct-2026." type="date" operator="greaterThan">
      <formula1>36526</formula1>
    </dataValidation>
    <dataValidation sqref="G5:G104" showDropDown="0" showInputMessage="0" showErrorMessage="1" allowBlank="1" errorTitle="Invalid date" error="Enter a valid date, e.g. 05-Oct-2026." type="date" operator="greaterThan">
      <formula1>36526</formula1>
    </dataValidation>
    <dataValidation sqref="H5:H104" showDropDown="0" showInputMessage="0" showErrorMessage="1" allowBlank="1" errorTitle="Invalid number" error="Enter a number (0 or more)." type="decimal" operator="greaterThanOrEqual">
      <formula1>0</formula1>
    </dataValidation>
  </dataValidations>
  <pageMargins left="0.75" right="0.75" top="1" bottom="1" header="0.5" footer="0.5"/>
  <pageSetup orientation="landscape" fitToHeight="0" fitToWidth="1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tabColor rgb="002F5597"/>
    <outlinePr summaryBelow="1" summaryRight="1"/>
    <pageSetUpPr fitToPage="1"/>
  </sheetPr>
  <dimension ref="A1:H154"/>
  <sheetViews>
    <sheetView showGridLines="0" tabSelected="0" zoomScale="90"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22" customWidth="1" min="2" max="2"/>
    <col width="44" customWidth="1" min="3" max="3"/>
    <col width="24" customWidth="1" min="4" max="4"/>
    <col width="13" customWidth="1" min="5" max="5"/>
    <col width="11" customWidth="1" min="6" max="6"/>
    <col width="40" customWidth="1" min="7" max="7"/>
    <col hidden="1" outlineLevel="1" width="6" customWidth="1" min="8" max="8"/>
  </cols>
  <sheetData>
    <row r="1" ht="30" customHeight="1">
      <c r="A1" s="42" t="inlineStr">
        <is>
          <t>PROGRAM STATUS - who is working on what (update when status changes)</t>
        </is>
      </c>
      <c r="B1" s="2" t="n"/>
      <c r="C1" s="2" t="n"/>
      <c r="D1" s="2" t="n"/>
      <c r="E1" s="2" t="n"/>
      <c r="F1" s="2" t="n"/>
      <c r="G1" s="2" t="n"/>
      <c r="H1" s="2" t="n"/>
    </row>
    <row r="2">
      <c r="A2" s="5" t="inlineStr">
        <is>
          <t>BLUE cells = team enters data   |   GREY cells = automatic formulas (do not edit)   |   Not a daily task list - just change Status when a program moves (Not Started &gt; In Progress &gt; Done / Blocked).</t>
        </is>
      </c>
    </row>
    <row r="4" ht="34" customHeight="1">
      <c r="A4" s="44" t="inlineStr">
        <is>
          <t>Team Member</t>
        </is>
      </c>
      <c r="B4" s="44" t="inlineStr">
        <is>
          <t>Client</t>
        </is>
      </c>
      <c r="C4" s="44" t="inlineStr">
        <is>
          <t>Program / Work</t>
        </is>
      </c>
      <c r="D4" s="44" t="inlineStr">
        <is>
          <t>Target (as provided)</t>
        </is>
      </c>
      <c r="E4" s="44" t="inlineStr">
        <is>
          <t>Status</t>
        </is>
      </c>
      <c r="F4" s="44" t="inlineStr">
        <is>
          <t>Date (if any)</t>
        </is>
      </c>
      <c r="G4" s="44" t="inlineStr">
        <is>
          <t>Remark / Next Step</t>
        </is>
      </c>
      <c r="H4" s="46" t="inlineStr">
        <is>
          <t>Blocked key</t>
        </is>
      </c>
    </row>
    <row r="5">
      <c r="A5" s="48" t="inlineStr">
        <is>
          <t>Surbhi Pandey</t>
        </is>
      </c>
      <c r="B5" s="48" t="inlineStr">
        <is>
          <t>SAP</t>
        </is>
      </c>
      <c r="C5" s="50" t="inlineStr">
        <is>
          <t>Content Syndication - Email  [SAP Partner Campaign - Citek]</t>
        </is>
      </c>
      <c r="D5" s="50" t="n"/>
      <c r="E5" s="48" t="n"/>
      <c r="F5" s="47" t="n"/>
      <c r="G5" s="50" t="n"/>
      <c r="H5" s="53" t="str">
        <f>IF($E5="Blocked",ROW(),"")</f>
        <v/>
      </c>
    </row>
    <row r="6">
      <c r="A6" s="48" t="inlineStr">
        <is>
          <t>Surbhi Pandey</t>
        </is>
      </c>
      <c r="B6" s="48" t="inlineStr">
        <is>
          <t>SAP</t>
        </is>
      </c>
      <c r="C6" s="50" t="inlineStr">
        <is>
          <t>Content Syndication - Email  [SAP Partner Campaign - Apptech]</t>
        </is>
      </c>
      <c r="D6" s="50" t="n"/>
      <c r="E6" s="48" t="n"/>
      <c r="F6" s="47" t="n"/>
      <c r="G6" s="50" t="n"/>
      <c r="H6" s="53" t="str">
        <f>IF($E6="Blocked",ROW(),"")</f>
        <v/>
      </c>
    </row>
    <row r="7">
      <c r="A7" s="48" t="inlineStr">
        <is>
          <t>Surbhi Pandey</t>
        </is>
      </c>
      <c r="B7" s="48" t="inlineStr">
        <is>
          <t>SAP</t>
        </is>
      </c>
      <c r="C7" s="50" t="inlineStr">
        <is>
          <t>Content Syndication - Email  [SAP Partner Campaign - Netizen]</t>
        </is>
      </c>
      <c r="D7" s="50" t="n"/>
      <c r="E7" s="48" t="n"/>
      <c r="F7" s="47" t="n"/>
      <c r="G7" s="50" t="n"/>
      <c r="H7" s="53" t="str">
        <f>IF($E7="Blocked",ROW(),"")</f>
        <v/>
      </c>
    </row>
    <row r="8">
      <c r="A8" s="48" t="inlineStr">
        <is>
          <t>Surbhi Pandey</t>
        </is>
      </c>
      <c r="B8" s="48" t="inlineStr">
        <is>
          <t>SAP</t>
        </is>
      </c>
      <c r="C8" s="50" t="inlineStr">
        <is>
          <t>Content Syndication - Email  [SAP Partner Campaign - Ikyam]</t>
        </is>
      </c>
      <c r="D8" s="50" t="n"/>
      <c r="E8" s="48" t="n"/>
      <c r="F8" s="47" t="n"/>
      <c r="G8" s="50" t="n"/>
      <c r="H8" s="53" t="str">
        <f>IF($E8="Blocked",ROW(),"")</f>
        <v/>
      </c>
    </row>
    <row r="9">
      <c r="A9" s="48" t="inlineStr">
        <is>
          <t>Surbhi Pandey</t>
        </is>
      </c>
      <c r="B9" s="48" t="inlineStr">
        <is>
          <t>SAP</t>
        </is>
      </c>
      <c r="C9" s="50" t="inlineStr">
        <is>
          <t>Content Syndication - Email  [SAP Partner Campaign - Castaliaz]</t>
        </is>
      </c>
      <c r="D9" s="50" t="n"/>
      <c r="E9" s="48" t="n"/>
      <c r="F9" s="47" t="n"/>
      <c r="G9" s="50" t="n"/>
      <c r="H9" s="53" t="str">
        <f>IF($E9="Blocked",ROW(),"")</f>
        <v/>
      </c>
    </row>
    <row r="10">
      <c r="A10" s="48" t="inlineStr">
        <is>
          <t>Surbhi Pandey</t>
        </is>
      </c>
      <c r="B10" s="48" t="inlineStr">
        <is>
          <t>SAP</t>
        </is>
      </c>
      <c r="C10" s="50" t="inlineStr">
        <is>
          <t>Content Syndication - Email  [SAP Partner Campaign - Truspeq]</t>
        </is>
      </c>
      <c r="D10" s="50" t="n"/>
      <c r="E10" s="48" t="n"/>
      <c r="F10" s="47" t="n"/>
      <c r="G10" s="50" t="n"/>
      <c r="H10" s="53" t="str">
        <f>IF($E10="Blocked",ROW(),"")</f>
        <v/>
      </c>
    </row>
    <row r="11">
      <c r="A11" s="48" t="inlineStr">
        <is>
          <t>Surbhi Pandey</t>
        </is>
      </c>
      <c r="B11" s="48" t="inlineStr">
        <is>
          <t>SAP</t>
        </is>
      </c>
      <c r="C11" s="50" t="inlineStr">
        <is>
          <t>Content Syndication - Email  [SAP Partner Campaign - NTT Data]</t>
        </is>
      </c>
      <c r="D11" s="50" t="n"/>
      <c r="E11" s="48" t="n"/>
      <c r="F11" s="47" t="n"/>
      <c r="G11" s="50" t="n"/>
      <c r="H11" s="53" t="str">
        <f>IF($E11="Blocked",ROW(),"")</f>
        <v/>
      </c>
    </row>
    <row r="12">
      <c r="A12" s="48" t="inlineStr">
        <is>
          <t>Surbhi Pandey</t>
        </is>
      </c>
      <c r="B12" s="48" t="inlineStr">
        <is>
          <t>SAP</t>
        </is>
      </c>
      <c r="C12" s="50" t="inlineStr">
        <is>
          <t>Content Syndication - Email  [SAP Partner Campaign - Abeam TH]</t>
        </is>
      </c>
      <c r="D12" s="50" t="n"/>
      <c r="E12" s="48" t="n"/>
      <c r="F12" s="47" t="n"/>
      <c r="G12" s="50" t="n"/>
      <c r="H12" s="53" t="str">
        <f>IF($E12="Blocked",ROW(),"")</f>
        <v/>
      </c>
    </row>
    <row r="13">
      <c r="A13" s="48" t="inlineStr">
        <is>
          <t>Surbhi Pandey</t>
        </is>
      </c>
      <c r="B13" s="48" t="inlineStr">
        <is>
          <t>Utimaco Singapore</t>
        </is>
      </c>
      <c r="C13" s="50" t="inlineStr">
        <is>
          <t>Content Syndication - Email  [Utimaco Singapore]</t>
        </is>
      </c>
      <c r="D13" s="50" t="n"/>
      <c r="E13" s="48" t="n"/>
      <c r="F13" s="47" t="n"/>
      <c r="G13" s="50" t="n"/>
      <c r="H13" s="53" t="str">
        <f>IF($E13="Blocked",ROW(),"")</f>
        <v/>
      </c>
    </row>
    <row r="14">
      <c r="A14" s="48" t="inlineStr">
        <is>
          <t>Surbhi Pandey</t>
        </is>
      </c>
      <c r="B14" s="48" t="inlineStr">
        <is>
          <t>SAP</t>
        </is>
      </c>
      <c r="C14" s="50" t="inlineStr">
        <is>
          <t>Content Syndication - Email + WhatsApp deployment  [SAP Success Factor HR Bengaluru]</t>
        </is>
      </c>
      <c r="D14" s="50" t="n"/>
      <c r="E14" s="48" t="n"/>
      <c r="F14" s="47" t="n">
        <v>46290</v>
      </c>
      <c r="G14" s="50" t="inlineStr">
        <is>
          <t>Date as provided: '25th Sep' (year assumed 2026 - please confirm).</t>
        </is>
      </c>
      <c r="H14" s="53" t="str">
        <f>IF($E14="Blocked",ROW(),"")</f>
        <v/>
      </c>
    </row>
    <row r="15">
      <c r="A15" s="48" t="inlineStr">
        <is>
          <t>Surbhi Pandey</t>
        </is>
      </c>
      <c r="B15" s="48" t="inlineStr">
        <is>
          <t>SAP</t>
        </is>
      </c>
      <c r="C15" s="50" t="inlineStr">
        <is>
          <t>Content Syndication - Email + WhatsApp deployment  [SAP Success Factor HR Bengaluru]</t>
        </is>
      </c>
      <c r="D15" s="50" t="n"/>
      <c r="E15" s="48" t="n"/>
      <c r="F15" s="47" t="n">
        <v>46304</v>
      </c>
      <c r="G15" s="50" t="inlineStr">
        <is>
          <t>Date as provided: '9th Oct' (year assumed 2026 - please confirm).</t>
        </is>
      </c>
      <c r="H15" s="53" t="str">
        <f>IF($E15="Blocked",ROW(),"")</f>
        <v/>
      </c>
    </row>
    <row r="16">
      <c r="A16" s="48" t="inlineStr">
        <is>
          <t>Surbhi Pandey</t>
        </is>
      </c>
      <c r="B16" s="48" t="inlineStr">
        <is>
          <t>SAP</t>
        </is>
      </c>
      <c r="C16" s="50" t="inlineStr">
        <is>
          <t>Content Syndication - Email + WhatsApp deployment  [SAP Viksit Bharat]</t>
        </is>
      </c>
      <c r="D16" s="50" t="n"/>
      <c r="E16" s="48" t="n"/>
      <c r="F16" s="47" t="n">
        <v>46290</v>
      </c>
      <c r="G16" s="50" t="inlineStr">
        <is>
          <t>Date as provided: '25th Sep' (year assumed 2026 - please confirm).</t>
        </is>
      </c>
      <c r="H16" s="53" t="str">
        <f>IF($E16="Blocked",ROW(),"")</f>
        <v/>
      </c>
    </row>
    <row r="17">
      <c r="A17" s="48" t="inlineStr">
        <is>
          <t>Surbhi Pandey</t>
        </is>
      </c>
      <c r="B17" s="48" t="inlineStr">
        <is>
          <t>SAP</t>
        </is>
      </c>
      <c r="C17" s="50" t="inlineStr">
        <is>
          <t>Content Syndication - Email + WhatsApp deployment  [SAP Viksit Bharat]</t>
        </is>
      </c>
      <c r="D17" s="50" t="n"/>
      <c r="E17" s="48" t="n"/>
      <c r="F17" s="47" t="n">
        <v>46301</v>
      </c>
      <c r="G17" s="50" t="inlineStr">
        <is>
          <t>Date as provided: '6th Oct' (year assumed 2026 - please confirm).</t>
        </is>
      </c>
      <c r="H17" s="53" t="str">
        <f>IF($E17="Blocked",ROW(),"")</f>
        <v/>
      </c>
    </row>
    <row r="18">
      <c r="A18" s="48" t="inlineStr">
        <is>
          <t>Surbhi Pandey</t>
        </is>
      </c>
      <c r="B18" s="48" t="inlineStr">
        <is>
          <t>SAP</t>
        </is>
      </c>
      <c r="C18" s="50" t="inlineStr">
        <is>
          <t>Content Syndication - Email + WhatsApp deployment  [SAP Success Factor Delhi]</t>
        </is>
      </c>
      <c r="D18" s="50" t="n"/>
      <c r="E18" s="48" t="n"/>
      <c r="F18" s="47" t="n">
        <v>46295</v>
      </c>
      <c r="G18" s="50" t="inlineStr">
        <is>
          <t>Date as provided: '30th Sep' (year assumed 2026 - please confirm).</t>
        </is>
      </c>
      <c r="H18" s="53" t="str">
        <f>IF($E18="Blocked",ROW(),"")</f>
        <v/>
      </c>
    </row>
    <row r="19">
      <c r="A19" s="48" t="inlineStr">
        <is>
          <t>Surbhi Pandey</t>
        </is>
      </c>
      <c r="B19" s="48" t="inlineStr">
        <is>
          <t>SAP</t>
        </is>
      </c>
      <c r="C19" s="50" t="inlineStr">
        <is>
          <t>Dripify &amp; Sales Navigator  [SAP HRMS]</t>
        </is>
      </c>
      <c r="D19" s="50" t="n"/>
      <c r="E19" s="48" t="n"/>
      <c r="F19" s="47" t="n"/>
      <c r="G19" s="50" t="n"/>
      <c r="H19" s="53" t="str">
        <f>IF($E19="Blocked",ROW(),"")</f>
        <v/>
      </c>
    </row>
    <row r="20">
      <c r="A20" s="48" t="inlineStr">
        <is>
          <t>Surbhi Pandey</t>
        </is>
      </c>
      <c r="B20" s="48" t="inlineStr">
        <is>
          <t>SAP</t>
        </is>
      </c>
      <c r="C20" s="50" t="inlineStr">
        <is>
          <t>SAP Events Intent Report</t>
        </is>
      </c>
      <c r="D20" s="50" t="n"/>
      <c r="E20" s="48" t="n"/>
      <c r="F20" s="47" t="n"/>
      <c r="G20" s="50" t="n"/>
      <c r="H20" s="53" t="str">
        <f>IF($E20="Blocked",ROW(),"")</f>
        <v/>
      </c>
    </row>
    <row r="21">
      <c r="A21" s="48" t="inlineStr">
        <is>
          <t>Surbhi Pandey</t>
        </is>
      </c>
      <c r="B21" s="48" t="inlineStr">
        <is>
          <t>SAP</t>
        </is>
      </c>
      <c r="C21" s="50" t="inlineStr">
        <is>
          <t>SAP Partner Campaign Report &amp; Dashboard</t>
        </is>
      </c>
      <c r="D21" s="50" t="n"/>
      <c r="E21" s="48" t="n"/>
      <c r="F21" s="47" t="n"/>
      <c r="G21" s="50" t="n"/>
      <c r="H21" s="53" t="str">
        <f>IF($E21="Blocked",ROW(),"")</f>
        <v/>
      </c>
    </row>
    <row r="22">
      <c r="A22" s="48" t="inlineStr">
        <is>
          <t>Surbhi Pandey</t>
        </is>
      </c>
      <c r="B22" s="48" t="inlineStr">
        <is>
          <t>SAP</t>
        </is>
      </c>
      <c r="C22" s="50" t="inlineStr">
        <is>
          <t>Create EDM HTML and work on EDM content</t>
        </is>
      </c>
      <c r="D22" s="50" t="n"/>
      <c r="E22" s="48" t="n"/>
      <c r="F22" s="47" t="n"/>
      <c r="G22" s="50" t="n"/>
      <c r="H22" s="53" t="str">
        <f>IF($E22="Blocked",ROW(),"")</f>
        <v/>
      </c>
    </row>
    <row r="23">
      <c r="A23" s="48" t="inlineStr">
        <is>
          <t>Surbhi Pandey</t>
        </is>
      </c>
      <c r="B23" s="48" t="inlineStr">
        <is>
          <t>SAP</t>
        </is>
      </c>
      <c r="C23" s="50" t="inlineStr">
        <is>
          <t>SAP Events WhatsApp Templates</t>
        </is>
      </c>
      <c r="D23" s="50" t="n"/>
      <c r="E23" s="48" t="n"/>
      <c r="F23" s="47" t="n"/>
      <c r="G23" s="50" t="n"/>
      <c r="H23" s="53" t="str">
        <f>IF($E23="Blocked",ROW(),"")</f>
        <v/>
      </c>
    </row>
    <row r="24">
      <c r="A24" s="48" t="inlineStr">
        <is>
          <t>Richi Bagla</t>
        </is>
      </c>
      <c r="B24" s="48" t="inlineStr">
        <is>
          <t>Vestrics</t>
        </is>
      </c>
      <c r="C24" s="50" t="inlineStr">
        <is>
          <t>Google Ads  [Vestrics - Google Ads]</t>
        </is>
      </c>
      <c r="D24" s="50" t="inlineStr">
        <is>
          <t>10-15 leads in a month</t>
        </is>
      </c>
      <c r="E24" s="48" t="n"/>
      <c r="F24" s="47" t="n"/>
      <c r="G24" s="50" t="n"/>
      <c r="H24" s="53" t="str">
        <f>IF($E24="Blocked",ROW(),"")</f>
        <v/>
      </c>
    </row>
    <row r="25">
      <c r="A25" s="48" t="inlineStr">
        <is>
          <t>Richi Bagla</t>
        </is>
      </c>
      <c r="B25" s="48" t="inlineStr">
        <is>
          <t>Eternelle</t>
        </is>
      </c>
      <c r="C25" s="50" t="inlineStr">
        <is>
          <t>Google Ads  [Eternelle - Google Ads]</t>
        </is>
      </c>
      <c r="D25" s="50" t="inlineStr">
        <is>
          <t>8-10 leads daily</t>
        </is>
      </c>
      <c r="E25" s="48" t="n"/>
      <c r="F25" s="47" t="n"/>
      <c r="G25" s="50" t="n"/>
      <c r="H25" s="53" t="str">
        <f>IF($E25="Blocked",ROW(),"")</f>
        <v/>
      </c>
    </row>
    <row r="26">
      <c r="A26" s="48" t="inlineStr">
        <is>
          <t>Richi Bagla</t>
        </is>
      </c>
      <c r="B26" s="48" t="inlineStr">
        <is>
          <t>Eternelle</t>
        </is>
      </c>
      <c r="C26" s="50" t="inlineStr">
        <is>
          <t>Client Co-ordination</t>
        </is>
      </c>
      <c r="D26" s="50" t="n"/>
      <c r="E26" s="48" t="n"/>
      <c r="F26" s="47" t="n"/>
      <c r="G26" s="50" t="n"/>
      <c r="H26" s="53" t="str">
        <f>IF($E26="Blocked",ROW(),"")</f>
        <v/>
      </c>
    </row>
    <row r="27">
      <c r="A27" s="48" t="inlineStr">
        <is>
          <t>Richi Bagla</t>
        </is>
      </c>
      <c r="B27" s="48" t="inlineStr">
        <is>
          <t>Magnasoft</t>
        </is>
      </c>
      <c r="C27" s="50" t="inlineStr">
        <is>
          <t>Google Ads  [Magnasoft - Google Ads]</t>
        </is>
      </c>
      <c r="D27" s="50" t="inlineStr">
        <is>
          <t>No update</t>
        </is>
      </c>
      <c r="E27" s="48" t="n"/>
      <c r="F27" s="47" t="n"/>
      <c r="G27" s="50" t="n"/>
      <c r="H27" s="53" t="str">
        <f>IF($E27="Blocked",ROW(),"")</f>
        <v/>
      </c>
    </row>
    <row r="28">
      <c r="A28" s="48" t="inlineStr">
        <is>
          <t>Richi Bagla</t>
        </is>
      </c>
      <c r="B28" s="48" t="inlineStr">
        <is>
          <t>Ruckus Networks</t>
        </is>
      </c>
      <c r="C28" s="50" t="inlineStr">
        <is>
          <t>Content Syndication - Email  [Ruckus - Content Syndication (Email)]</t>
        </is>
      </c>
      <c r="D28" s="50" t="inlineStr">
        <is>
          <t>50 form fills</t>
        </is>
      </c>
      <c r="E28" s="48" t="n"/>
      <c r="F28" s="47" t="n"/>
      <c r="G28" s="50" t="n"/>
      <c r="H28" s="53" t="str">
        <f>IF($E28="Blocked",ROW(),"")</f>
        <v/>
      </c>
    </row>
    <row r="29">
      <c r="A29" s="48" t="inlineStr">
        <is>
          <t>Richi Bagla</t>
        </is>
      </c>
      <c r="B29" s="48" t="inlineStr">
        <is>
          <t>Equinix</t>
        </is>
      </c>
      <c r="C29" s="50" t="inlineStr">
        <is>
          <t>Content Syndication - Email  [Equinix - Content Syndication (Email)]</t>
        </is>
      </c>
      <c r="D29" s="50" t="inlineStr">
        <is>
          <t>150 form fills</t>
        </is>
      </c>
      <c r="E29" s="48" t="n"/>
      <c r="F29" s="47" t="n"/>
      <c r="G29" s="50" t="n"/>
      <c r="H29" s="53" t="str">
        <f>IF($E29="Blocked",ROW(),"")</f>
        <v/>
      </c>
    </row>
    <row r="30">
      <c r="A30" s="48" t="inlineStr">
        <is>
          <t>Richi Bagla</t>
        </is>
      </c>
      <c r="B30" s="48" t="inlineStr">
        <is>
          <t>SAP</t>
        </is>
      </c>
      <c r="C30" s="50" t="inlineStr">
        <is>
          <t>Helping Surbhi with landing pages</t>
        </is>
      </c>
      <c r="D30" s="50" t="n"/>
      <c r="E30" s="48" t="n"/>
      <c r="F30" s="47" t="n"/>
      <c r="G30" s="50" t="n"/>
      <c r="H30" s="53" t="str">
        <f>IF($E30="Blocked",ROW(),"")</f>
        <v/>
      </c>
    </row>
    <row r="31">
      <c r="A31" s="48" t="inlineStr">
        <is>
          <t>Riya Diwan</t>
        </is>
      </c>
      <c r="B31" s="48" t="inlineStr">
        <is>
          <t>Chola MS</t>
        </is>
      </c>
      <c r="C31" s="50" t="inlineStr">
        <is>
          <t>Client coordination  [Chola MS - SEO &amp; Social Media]</t>
        </is>
      </c>
      <c r="D31" s="50" t="n"/>
      <c r="E31" s="48" t="n"/>
      <c r="F31" s="47" t="n"/>
      <c r="G31" s="50" t="n"/>
      <c r="H31" s="53" t="str">
        <f>IF($E31="Blocked",ROW(),"")</f>
        <v/>
      </c>
    </row>
    <row r="32">
      <c r="A32" s="48" t="inlineStr">
        <is>
          <t>Riya Diwan</t>
        </is>
      </c>
      <c r="B32" s="48" t="inlineStr">
        <is>
          <t>Chola MS</t>
        </is>
      </c>
      <c r="C32" s="50" t="inlineStr">
        <is>
          <t>Social postings (approval and internal coordination)  [Chola MS - SEO &amp; Social Media]</t>
        </is>
      </c>
      <c r="D32" s="50" t="inlineStr">
        <is>
          <t>38-40 leads; 22 posts</t>
        </is>
      </c>
      <c r="E32" s="48" t="n"/>
      <c r="F32" s="47" t="n"/>
      <c r="G32" s="50" t="n"/>
      <c r="H32" s="53" t="str">
        <f>IF($E32="Blocked",ROW(),"")</f>
        <v/>
      </c>
    </row>
    <row r="33">
      <c r="A33" s="48" t="inlineStr">
        <is>
          <t>Riya Diwan</t>
        </is>
      </c>
      <c r="B33" s="48" t="inlineStr">
        <is>
          <t>Chola MS</t>
        </is>
      </c>
      <c r="C33" s="50" t="inlineStr">
        <is>
          <t>SEO (on page, content &amp; link building)  [Chola MS - SEO &amp; Social Media]</t>
        </is>
      </c>
      <c r="D33" s="50" t="n"/>
      <c r="E33" s="48" t="n"/>
      <c r="F33" s="47" t="n"/>
      <c r="G33" s="50" t="n"/>
      <c r="H33" s="53" t="str">
        <f>IF($E33="Blocked",ROW(),"")</f>
        <v/>
      </c>
    </row>
    <row r="34">
      <c r="A34" s="48" t="inlineStr">
        <is>
          <t>Riya Diwan</t>
        </is>
      </c>
      <c r="B34" s="48" t="inlineStr">
        <is>
          <t>Chola MS</t>
        </is>
      </c>
      <c r="C34" s="50" t="inlineStr">
        <is>
          <t>Website management &amp; updates  [Chola MS - SEO &amp; Social Media]</t>
        </is>
      </c>
      <c r="D34" s="50" t="n"/>
      <c r="E34" s="48" t="n"/>
      <c r="F34" s="47" t="n"/>
      <c r="G34" s="50" t="n"/>
      <c r="H34" s="53" t="str">
        <f>IF($E34="Blocked",ROW(),"")</f>
        <v/>
      </c>
    </row>
    <row r="35">
      <c r="A35" s="48" t="inlineStr">
        <is>
          <t>Riya Diwan</t>
        </is>
      </c>
      <c r="B35" s="48" t="inlineStr">
        <is>
          <t>Chola MS</t>
        </is>
      </c>
      <c r="C35" s="50" t="inlineStr">
        <is>
          <t>Monthly report  [Chola MS - SEO &amp; Social Media]</t>
        </is>
      </c>
      <c r="D35" s="50" t="n"/>
      <c r="E35" s="48" t="n"/>
      <c r="F35" s="47" t="n"/>
      <c r="G35" s="50" t="n"/>
      <c r="H35" s="53" t="str">
        <f>IF($E35="Blocked",ROW(),"")</f>
        <v/>
      </c>
    </row>
    <row r="36">
      <c r="A36" s="48" t="inlineStr">
        <is>
          <t>Riya Diwan</t>
        </is>
      </c>
      <c r="B36" s="48" t="inlineStr">
        <is>
          <t>Google Chrome Enterprise</t>
        </is>
      </c>
      <c r="C36" s="50" t="inlineStr">
        <is>
          <t>Content Syndication - Email  [Google Chrome - Content Syndication (Email)]</t>
        </is>
      </c>
      <c r="D36" s="50" t="inlineStr">
        <is>
          <t>Form fills; opens/clicks data</t>
        </is>
      </c>
      <c r="E36" s="48" t="n"/>
      <c r="F36" s="47" t="n"/>
      <c r="G36" s="50" t="n"/>
      <c r="H36" s="53" t="str">
        <f>IF($E36="Blocked",ROW(),"")</f>
        <v/>
      </c>
    </row>
    <row r="37">
      <c r="A37" s="48" t="inlineStr">
        <is>
          <t>Riya Diwan</t>
        </is>
      </c>
      <c r="B37" s="48" t="inlineStr">
        <is>
          <t>Google Chrome Enterprise</t>
        </is>
      </c>
      <c r="C37" s="50" t="inlineStr">
        <is>
          <t>Leads update and map data  [Google Chrome - Content Syndication (Email)]</t>
        </is>
      </c>
      <c r="D37" s="50" t="n"/>
      <c r="E37" s="48" t="n"/>
      <c r="F37" s="47" t="n"/>
      <c r="G37" s="50" t="n"/>
      <c r="H37" s="53" t="str">
        <f>IF($E37="Blocked",ROW(),"")</f>
        <v/>
      </c>
    </row>
    <row r="38">
      <c r="A38" s="48" t="inlineStr">
        <is>
          <t>Riya Diwan</t>
        </is>
      </c>
      <c r="B38" s="48" t="inlineStr">
        <is>
          <t>Vestrics</t>
        </is>
      </c>
      <c r="C38" s="50" t="inlineStr">
        <is>
          <t>Blog posting  [Vestrics - SEO &amp; Social Media]</t>
        </is>
      </c>
      <c r="D38" s="50" t="n"/>
      <c r="E38" s="48" t="n"/>
      <c r="F38" s="47" t="n"/>
      <c r="G38" s="50" t="n"/>
      <c r="H38" s="53" t="str">
        <f>IF($E38="Blocked",ROW(),"")</f>
        <v/>
      </c>
    </row>
    <row r="39">
      <c r="A39" s="48" t="inlineStr">
        <is>
          <t>Riya Diwan</t>
        </is>
      </c>
      <c r="B39" s="48" t="inlineStr">
        <is>
          <t>Vestrics</t>
        </is>
      </c>
      <c r="C39" s="50" t="inlineStr">
        <is>
          <t>Off page SEO (content &amp; link building)  [Vestrics - SEO &amp; Social Media]</t>
        </is>
      </c>
      <c r="D39" s="50" t="n"/>
      <c r="E39" s="48" t="n"/>
      <c r="F39" s="47" t="n"/>
      <c r="G39" s="50" t="n"/>
      <c r="H39" s="53" t="str">
        <f>IF($E39="Blocked",ROW(),"")</f>
        <v/>
      </c>
    </row>
    <row r="40">
      <c r="A40" s="48" t="inlineStr">
        <is>
          <t>Riya Diwan</t>
        </is>
      </c>
      <c r="B40" s="48" t="inlineStr">
        <is>
          <t>Vestrics</t>
        </is>
      </c>
      <c r="C40" s="50" t="inlineStr">
        <is>
          <t>Social postings  [Vestrics - SEO &amp; Social Media]</t>
        </is>
      </c>
      <c r="D40" s="50" t="n"/>
      <c r="E40" s="48" t="n"/>
      <c r="F40" s="47" t="n"/>
      <c r="G40" s="50" t="n"/>
      <c r="H40" s="53" t="str">
        <f>IF($E40="Blocked",ROW(),"")</f>
        <v/>
      </c>
    </row>
    <row r="41">
      <c r="A41" s="48" t="inlineStr">
        <is>
          <t>Riya Diwan</t>
        </is>
      </c>
      <c r="B41" s="48" t="inlineStr">
        <is>
          <t>Vestrics</t>
        </is>
      </c>
      <c r="C41" s="50" t="inlineStr">
        <is>
          <t>Monthly report  [Vestrics - SEO &amp; Social Media]</t>
        </is>
      </c>
      <c r="D41" s="50" t="n"/>
      <c r="E41" s="48" t="n"/>
      <c r="F41" s="47" t="n"/>
      <c r="G41" s="50" t="n"/>
      <c r="H41" s="53" t="str">
        <f>IF($E41="Blocked",ROW(),"")</f>
        <v/>
      </c>
    </row>
    <row r="42">
      <c r="A42" s="48" t="inlineStr">
        <is>
          <t>Riya Diwan</t>
        </is>
      </c>
      <c r="B42" s="48" t="inlineStr">
        <is>
          <t>Magnasoft</t>
        </is>
      </c>
      <c r="C42" s="50" t="inlineStr">
        <is>
          <t>Blog posting  [Magnasoft - SEO &amp; Social Media]</t>
        </is>
      </c>
      <c r="D42" s="50" t="n"/>
      <c r="E42" s="48" t="n"/>
      <c r="F42" s="47" t="n"/>
      <c r="G42" s="50" t="n"/>
      <c r="H42" s="53" t="str">
        <f>IF($E42="Blocked",ROW(),"")</f>
        <v/>
      </c>
    </row>
    <row r="43">
      <c r="A43" s="48" t="inlineStr">
        <is>
          <t>Riya Diwan</t>
        </is>
      </c>
      <c r="B43" s="48" t="inlineStr">
        <is>
          <t>Magnasoft</t>
        </is>
      </c>
      <c r="C43" s="50" t="inlineStr">
        <is>
          <t>Social postings  [Magnasoft - SEO &amp; Social Media]</t>
        </is>
      </c>
      <c r="D43" s="50" t="n"/>
      <c r="E43" s="48" t="n"/>
      <c r="F43" s="47" t="n"/>
      <c r="G43" s="50" t="n"/>
      <c r="H43" s="53" t="str">
        <f>IF($E43="Blocked",ROW(),"")</f>
        <v/>
      </c>
    </row>
    <row r="44">
      <c r="A44" s="48" t="inlineStr">
        <is>
          <t>Riya Diwan</t>
        </is>
      </c>
      <c r="B44" s="48" t="inlineStr">
        <is>
          <t>Magnasoft</t>
        </is>
      </c>
      <c r="C44" s="50" t="inlineStr">
        <is>
          <t>Off page SEO (content &amp; link building)  [Magnasoft - SEO &amp; Social Media]</t>
        </is>
      </c>
      <c r="D44" s="50" t="n"/>
      <c r="E44" s="48" t="n"/>
      <c r="F44" s="47" t="n"/>
      <c r="G44" s="50" t="n"/>
      <c r="H44" s="53" t="str">
        <f>IF($E44="Blocked",ROW(),"")</f>
        <v/>
      </c>
    </row>
    <row r="45">
      <c r="A45" s="48" t="inlineStr">
        <is>
          <t>Riya Diwan</t>
        </is>
      </c>
      <c r="B45" s="48" t="inlineStr">
        <is>
          <t>Eternelle</t>
        </is>
      </c>
      <c r="C45" s="50" t="inlineStr">
        <is>
          <t>Blog posting  [Eternelle - SEO &amp; Blogs]</t>
        </is>
      </c>
      <c r="D45" s="50" t="inlineStr">
        <is>
          <t>6 blogs a month</t>
        </is>
      </c>
      <c r="E45" s="48" t="n"/>
      <c r="F45" s="47" t="n"/>
      <c r="G45" s="50" t="n"/>
      <c r="H45" s="53" t="str">
        <f>IF($E45="Blocked",ROW(),"")</f>
        <v/>
      </c>
    </row>
    <row r="46">
      <c r="A46" s="48" t="inlineStr">
        <is>
          <t>Riya Diwan</t>
        </is>
      </c>
      <c r="B46" s="48" t="inlineStr">
        <is>
          <t>SAP</t>
        </is>
      </c>
      <c r="C46" s="50" t="inlineStr">
        <is>
          <t>Help Ayush in EDM (HTML)</t>
        </is>
      </c>
      <c r="D46" s="50" t="inlineStr">
        <is>
          <t>Whenever needed</t>
        </is>
      </c>
      <c r="E46" s="48" t="n"/>
      <c r="F46" s="47" t="n"/>
      <c r="G46" s="50" t="n"/>
      <c r="H46" s="53" t="str">
        <f>IF($E46="Blocked",ROW(),"")</f>
        <v/>
      </c>
    </row>
    <row r="47">
      <c r="A47" s="48" t="inlineStr">
        <is>
          <t>Ayush Jain</t>
        </is>
      </c>
      <c r="B47" s="48" t="inlineStr">
        <is>
          <t>Chola MS</t>
        </is>
      </c>
      <c r="C47" s="50" t="inlineStr">
        <is>
          <t>Content calendar preparation  [Chola MS - SEO &amp; Social Media]</t>
        </is>
      </c>
      <c r="D47" s="50" t="inlineStr">
        <is>
          <t>Mandate: 22</t>
        </is>
      </c>
      <c r="E47" s="48" t="n"/>
      <c r="F47" s="47" t="n"/>
      <c r="G47" s="50" t="n"/>
      <c r="H47" s="53" t="str">
        <f>IF($E47="Blocked",ROW(),"")</f>
        <v/>
      </c>
    </row>
    <row r="48">
      <c r="A48" s="48" t="inlineStr">
        <is>
          <t>Ayush Jain</t>
        </is>
      </c>
      <c r="B48" s="48" t="inlineStr">
        <is>
          <t>Chola MS</t>
        </is>
      </c>
      <c r="C48" s="50" t="inlineStr">
        <is>
          <t>Off page &amp; on page content research  [Chola MS - SEO &amp; Social Media]</t>
        </is>
      </c>
      <c r="D48" s="50" t="inlineStr">
        <is>
          <t>Mandate: 8</t>
        </is>
      </c>
      <c r="E48" s="48" t="n"/>
      <c r="F48" s="47" t="n"/>
      <c r="G48" s="50" t="n"/>
      <c r="H48" s="53" t="str">
        <f>IF($E48="Blocked",ROW(),"")</f>
        <v/>
      </c>
    </row>
    <row r="49">
      <c r="A49" s="48" t="inlineStr">
        <is>
          <t>Ayush Jain</t>
        </is>
      </c>
      <c r="B49" s="48" t="inlineStr">
        <is>
          <t>Vestrics</t>
        </is>
      </c>
      <c r="C49" s="50" t="inlineStr">
        <is>
          <t>Client co-ordination</t>
        </is>
      </c>
      <c r="D49" s="50" t="n"/>
      <c r="E49" s="48" t="n"/>
      <c r="F49" s="47" t="n"/>
      <c r="G49" s="50" t="n"/>
      <c r="H49" s="53" t="str">
        <f>IF($E49="Blocked",ROW(),"")</f>
        <v/>
      </c>
    </row>
    <row r="50">
      <c r="A50" s="48" t="inlineStr">
        <is>
          <t>Ayush Jain</t>
        </is>
      </c>
      <c r="B50" s="48" t="inlineStr">
        <is>
          <t>Vestrics</t>
        </is>
      </c>
      <c r="C50" s="50" t="inlineStr">
        <is>
          <t>Helping Richi in running ads  [Vestrics - Google Ads]</t>
        </is>
      </c>
      <c r="D50" s="50" t="n"/>
      <c r="E50" s="48" t="n"/>
      <c r="F50" s="47" t="n"/>
      <c r="G50" s="50" t="n"/>
      <c r="H50" s="53" t="str">
        <f>IF($E50="Blocked",ROW(),"")</f>
        <v/>
      </c>
    </row>
    <row r="51">
      <c r="A51" s="48" t="inlineStr">
        <is>
          <t>Ayush Jain</t>
        </is>
      </c>
      <c r="B51" s="48" t="inlineStr">
        <is>
          <t>Vestrics</t>
        </is>
      </c>
      <c r="C51" s="50" t="inlineStr">
        <is>
          <t>Social media calendar preparation  [Vestrics - SEO &amp; Social Media]</t>
        </is>
      </c>
      <c r="D51" s="50" t="inlineStr">
        <is>
          <t>Mandate: 10-12</t>
        </is>
      </c>
      <c r="E51" s="48" t="n"/>
      <c r="F51" s="47" t="n"/>
      <c r="G51" s="50" t="n"/>
      <c r="H51" s="53" t="str">
        <f>IF($E51="Blocked",ROW(),"")</f>
        <v/>
      </c>
    </row>
    <row r="52">
      <c r="A52" s="48" t="inlineStr">
        <is>
          <t>Ayush Jain</t>
        </is>
      </c>
      <c r="B52" s="48" t="inlineStr">
        <is>
          <t>Vestrics</t>
        </is>
      </c>
      <c r="C52" s="50" t="inlineStr">
        <is>
          <t>Internal team co-ordination</t>
        </is>
      </c>
      <c r="D52" s="50" t="n"/>
      <c r="E52" s="48" t="n"/>
      <c r="F52" s="47" t="n"/>
      <c r="G52" s="50" t="n"/>
      <c r="H52" s="53" t="str">
        <f>IF($E52="Blocked",ROW(),"")</f>
        <v/>
      </c>
    </row>
    <row r="53">
      <c r="A53" s="48" t="inlineStr">
        <is>
          <t>Ayush Jain</t>
        </is>
      </c>
      <c r="B53" s="48" t="inlineStr">
        <is>
          <t>Vestrics</t>
        </is>
      </c>
      <c r="C53" s="50" t="inlineStr">
        <is>
          <t>Off page &amp; on page content research  [Vestrics - SEO &amp; Social Media]</t>
        </is>
      </c>
      <c r="D53" s="50" t="inlineStr">
        <is>
          <t>Mandate: 4</t>
        </is>
      </c>
      <c r="E53" s="48" t="n"/>
      <c r="F53" s="47" t="n"/>
      <c r="G53" s="50" t="n"/>
      <c r="H53" s="53" t="str">
        <f>IF($E53="Blocked",ROW(),"")</f>
        <v/>
      </c>
    </row>
    <row r="54">
      <c r="A54" s="48" t="inlineStr">
        <is>
          <t>Ayush Jain</t>
        </is>
      </c>
      <c r="B54" s="48" t="inlineStr">
        <is>
          <t>Vestrics</t>
        </is>
      </c>
      <c r="C54" s="50" t="inlineStr">
        <is>
          <t>Website management &amp; SEO  [Vestrics - SEO &amp; Social Media]</t>
        </is>
      </c>
      <c r="D54" s="50" t="n"/>
      <c r="E54" s="48" t="n"/>
      <c r="F54" s="47" t="n"/>
      <c r="G54" s="50" t="n"/>
      <c r="H54" s="53" t="str">
        <f>IF($E54="Blocked",ROW(),"")</f>
        <v/>
      </c>
    </row>
    <row r="55">
      <c r="A55" s="48" t="inlineStr">
        <is>
          <t>Ayush Jain</t>
        </is>
      </c>
      <c r="B55" s="48" t="inlineStr">
        <is>
          <t>Magnasoft</t>
        </is>
      </c>
      <c r="C55" s="50" t="inlineStr">
        <is>
          <t>Client co-ordination</t>
        </is>
      </c>
      <c r="D55" s="50" t="n"/>
      <c r="E55" s="48" t="n"/>
      <c r="F55" s="47" t="n"/>
      <c r="G55" s="50" t="n"/>
      <c r="H55" s="53" t="str">
        <f>IF($E55="Blocked",ROW(),"")</f>
        <v/>
      </c>
    </row>
    <row r="56">
      <c r="A56" s="48" t="inlineStr">
        <is>
          <t>Ayush Jain</t>
        </is>
      </c>
      <c r="B56" s="48" t="inlineStr">
        <is>
          <t>Magnasoft</t>
        </is>
      </c>
      <c r="C56" s="50" t="inlineStr">
        <is>
          <t>Internal team co-ordination</t>
        </is>
      </c>
      <c r="D56" s="50" t="n"/>
      <c r="E56" s="48" t="n"/>
      <c r="F56" s="47" t="n"/>
      <c r="G56" s="50" t="n"/>
      <c r="H56" s="53" t="str">
        <f>IF($E56="Blocked",ROW(),"")</f>
        <v/>
      </c>
    </row>
    <row r="57">
      <c r="A57" s="48" t="inlineStr">
        <is>
          <t>Ayush Jain</t>
        </is>
      </c>
      <c r="B57" s="48" t="inlineStr">
        <is>
          <t>Magnasoft</t>
        </is>
      </c>
      <c r="C57" s="50" t="inlineStr">
        <is>
          <t>Content topic research  [Magnasoft - SEO &amp; Social Media]</t>
        </is>
      </c>
      <c r="D57" s="50" t="inlineStr">
        <is>
          <t>Mandate: 8</t>
        </is>
      </c>
      <c r="E57" s="48" t="n"/>
      <c r="F57" s="47" t="n"/>
      <c r="G57" s="50" t="n"/>
      <c r="H57" s="53" t="str">
        <f>IF($E57="Blocked",ROW(),"")</f>
        <v/>
      </c>
    </row>
    <row r="58">
      <c r="A58" s="48" t="inlineStr">
        <is>
          <t>Ayush Jain</t>
        </is>
      </c>
      <c r="B58" s="48" t="inlineStr">
        <is>
          <t>Magnasoft</t>
        </is>
      </c>
      <c r="C58" s="50" t="inlineStr">
        <is>
          <t>Website management  [Magnasoft - SEO &amp; Social Media]</t>
        </is>
      </c>
      <c r="D58" s="50" t="n"/>
      <c r="E58" s="48" t="n"/>
      <c r="F58" s="47" t="n"/>
      <c r="G58" s="50" t="n"/>
      <c r="H58" s="53" t="str">
        <f>IF($E58="Blocked",ROW(),"")</f>
        <v/>
      </c>
    </row>
    <row r="59">
      <c r="A59" s="48" t="inlineStr">
        <is>
          <t>Ayush Jain</t>
        </is>
      </c>
      <c r="B59" s="48" t="inlineStr">
        <is>
          <t>Magnasoft</t>
        </is>
      </c>
      <c r="C59" s="50" t="inlineStr">
        <is>
          <t>Social media calendar preparation  [Magnasoft - SEO &amp; Social Media]</t>
        </is>
      </c>
      <c r="D59" s="50" t="inlineStr">
        <is>
          <t>Mandate: 10-12</t>
        </is>
      </c>
      <c r="E59" s="48" t="n"/>
      <c r="F59" s="47" t="n"/>
      <c r="G59" s="50" t="n"/>
      <c r="H59" s="53" t="str">
        <f>IF($E59="Blocked",ROW(),"")</f>
        <v/>
      </c>
    </row>
    <row r="60">
      <c r="A60" s="48" t="inlineStr">
        <is>
          <t>Ayush Jain</t>
        </is>
      </c>
      <c r="B60" s="48" t="inlineStr">
        <is>
          <t>Eternelle</t>
        </is>
      </c>
      <c r="C60" s="50" t="inlineStr">
        <is>
          <t>Content research  [Eternelle - SEO &amp; Blogs]</t>
        </is>
      </c>
      <c r="D60" s="50" t="inlineStr">
        <is>
          <t>Mandate: 8</t>
        </is>
      </c>
      <c r="E60" s="48" t="n"/>
      <c r="F60" s="47" t="n"/>
      <c r="G60" s="50" t="n"/>
      <c r="H60" s="53" t="str">
        <f>IF($E60="Blocked",ROW(),"")</f>
        <v/>
      </c>
    </row>
    <row r="61">
      <c r="A61" s="48" t="inlineStr">
        <is>
          <t>Ayush Jain</t>
        </is>
      </c>
      <c r="B61" s="48" t="inlineStr">
        <is>
          <t>Eternelle</t>
        </is>
      </c>
      <c r="C61" s="50" t="inlineStr">
        <is>
          <t>Ads planning  [Eternelle - Google Ads]</t>
        </is>
      </c>
      <c r="D61" s="50" t="n"/>
      <c r="E61" s="48" t="n"/>
      <c r="F61" s="47" t="n"/>
      <c r="G61" s="50" t="n"/>
      <c r="H61" s="53" t="str">
        <f>IF($E61="Blocked",ROW(),"")</f>
        <v/>
      </c>
    </row>
    <row r="62">
      <c r="A62" s="48" t="inlineStr">
        <is>
          <t>Ayush Jain</t>
        </is>
      </c>
      <c r="B62" s="48" t="inlineStr">
        <is>
          <t>Google Chrome Enterprise</t>
        </is>
      </c>
      <c r="C62" s="50" t="inlineStr">
        <is>
          <t>Team co-ordination</t>
        </is>
      </c>
      <c r="D62" s="50" t="n"/>
      <c r="E62" s="48" t="n"/>
      <c r="F62" s="47" t="n"/>
      <c r="G62" s="50" t="n"/>
      <c r="H62" s="53" t="str">
        <f>IF($E62="Blocked",ROW(),"")</f>
        <v/>
      </c>
    </row>
    <row r="63">
      <c r="A63" s="48" t="n"/>
      <c r="B63" s="48" t="n"/>
      <c r="C63" s="50" t="n"/>
      <c r="D63" s="50" t="n"/>
      <c r="E63" s="48" t="n"/>
      <c r="F63" s="47" t="n"/>
      <c r="G63" s="50" t="n"/>
      <c r="H63" s="53" t="str">
        <f>IF($E63="Blocked",ROW(),"")</f>
        <v/>
      </c>
    </row>
    <row r="64">
      <c r="A64" s="48" t="n"/>
      <c r="B64" s="48" t="n"/>
      <c r="C64" s="50" t="n"/>
      <c r="D64" s="50" t="n"/>
      <c r="E64" s="48" t="n"/>
      <c r="F64" s="47" t="n"/>
      <c r="G64" s="50" t="n"/>
      <c r="H64" s="53" t="str">
        <f>IF($E64="Blocked",ROW(),"")</f>
        <v/>
      </c>
    </row>
    <row r="65">
      <c r="A65" s="48" t="n"/>
      <c r="B65" s="48" t="n"/>
      <c r="C65" s="50" t="n"/>
      <c r="D65" s="50" t="n"/>
      <c r="E65" s="48" t="n"/>
      <c r="F65" s="47" t="n"/>
      <c r="G65" s="50" t="n"/>
      <c r="H65" s="53" t="str">
        <f>IF($E65="Blocked",ROW(),"")</f>
        <v/>
      </c>
    </row>
    <row r="66">
      <c r="A66" s="48" t="n"/>
      <c r="B66" s="48" t="n"/>
      <c r="C66" s="50" t="n"/>
      <c r="D66" s="50" t="n"/>
      <c r="E66" s="48" t="n"/>
      <c r="F66" s="47" t="n"/>
      <c r="G66" s="50" t="n"/>
      <c r="H66" s="53" t="str">
        <f>IF($E66="Blocked",ROW(),"")</f>
        <v/>
      </c>
    </row>
    <row r="67">
      <c r="A67" s="48" t="n"/>
      <c r="B67" s="48" t="n"/>
      <c r="C67" s="50" t="n"/>
      <c r="D67" s="50" t="n"/>
      <c r="E67" s="48" t="n"/>
      <c r="F67" s="47" t="n"/>
      <c r="G67" s="50" t="n"/>
      <c r="H67" s="53" t="str">
        <f>IF($E67="Blocked",ROW(),"")</f>
        <v/>
      </c>
    </row>
    <row r="68">
      <c r="A68" s="48" t="n"/>
      <c r="B68" s="48" t="n"/>
      <c r="C68" s="50" t="n"/>
      <c r="D68" s="50" t="n"/>
      <c r="E68" s="48" t="n"/>
      <c r="F68" s="47" t="n"/>
      <c r="G68" s="50" t="n"/>
      <c r="H68" s="53" t="str">
        <f>IF($E68="Blocked",ROW(),"")</f>
        <v/>
      </c>
    </row>
    <row r="69">
      <c r="A69" s="48" t="n"/>
      <c r="B69" s="48" t="n"/>
      <c r="C69" s="50" t="n"/>
      <c r="D69" s="50" t="n"/>
      <c r="E69" s="48" t="n"/>
      <c r="F69" s="47" t="n"/>
      <c r="G69" s="50" t="n"/>
      <c r="H69" s="53" t="str">
        <f>IF($E69="Blocked",ROW(),"")</f>
        <v/>
      </c>
    </row>
    <row r="70">
      <c r="A70" s="48" t="n"/>
      <c r="B70" s="48" t="n"/>
      <c r="C70" s="50" t="n"/>
      <c r="D70" s="50" t="n"/>
      <c r="E70" s="48" t="n"/>
      <c r="F70" s="47" t="n"/>
      <c r="G70" s="50" t="n"/>
      <c r="H70" s="53" t="str">
        <f>IF($E70="Blocked",ROW(),"")</f>
        <v/>
      </c>
    </row>
    <row r="71">
      <c r="A71" s="48" t="n"/>
      <c r="B71" s="48" t="n"/>
      <c r="C71" s="50" t="n"/>
      <c r="D71" s="50" t="n"/>
      <c r="E71" s="48" t="n"/>
      <c r="F71" s="47" t="n"/>
      <c r="G71" s="50" t="n"/>
      <c r="H71" s="53" t="str">
        <f>IF($E71="Blocked",ROW(),"")</f>
        <v/>
      </c>
    </row>
    <row r="72">
      <c r="A72" s="48" t="n"/>
      <c r="B72" s="48" t="n"/>
      <c r="C72" s="50" t="n"/>
      <c r="D72" s="50" t="n"/>
      <c r="E72" s="48" t="n"/>
      <c r="F72" s="47" t="n"/>
      <c r="G72" s="50" t="n"/>
      <c r="H72" s="53" t="str">
        <f>IF($E72="Blocked",ROW(),"")</f>
        <v/>
      </c>
    </row>
    <row r="73">
      <c r="A73" s="48" t="n"/>
      <c r="B73" s="48" t="n"/>
      <c r="C73" s="50" t="n"/>
      <c r="D73" s="50" t="n"/>
      <c r="E73" s="48" t="n"/>
      <c r="F73" s="47" t="n"/>
      <c r="G73" s="50" t="n"/>
      <c r="H73" s="53" t="str">
        <f>IF($E73="Blocked",ROW(),"")</f>
        <v/>
      </c>
    </row>
    <row r="74">
      <c r="A74" s="48" t="n"/>
      <c r="B74" s="48" t="n"/>
      <c r="C74" s="50" t="n"/>
      <c r="D74" s="50" t="n"/>
      <c r="E74" s="48" t="n"/>
      <c r="F74" s="47" t="n"/>
      <c r="G74" s="50" t="n"/>
      <c r="H74" s="53" t="str">
        <f>IF($E74="Blocked",ROW(),"")</f>
        <v/>
      </c>
    </row>
    <row r="75">
      <c r="A75" s="48" t="n"/>
      <c r="B75" s="48" t="n"/>
      <c r="C75" s="50" t="n"/>
      <c r="D75" s="50" t="n"/>
      <c r="E75" s="48" t="n"/>
      <c r="F75" s="47" t="n"/>
      <c r="G75" s="50" t="n"/>
      <c r="H75" s="53" t="str">
        <f>IF($E75="Blocked",ROW(),"")</f>
        <v/>
      </c>
    </row>
    <row r="76">
      <c r="A76" s="48" t="n"/>
      <c r="B76" s="48" t="n"/>
      <c r="C76" s="50" t="n"/>
      <c r="D76" s="50" t="n"/>
      <c r="E76" s="48" t="n"/>
      <c r="F76" s="47" t="n"/>
      <c r="G76" s="50" t="n"/>
      <c r="H76" s="53" t="str">
        <f>IF($E76="Blocked",ROW(),"")</f>
        <v/>
      </c>
    </row>
    <row r="77">
      <c r="A77" s="48" t="n"/>
      <c r="B77" s="48" t="n"/>
      <c r="C77" s="50" t="n"/>
      <c r="D77" s="50" t="n"/>
      <c r="E77" s="48" t="n"/>
      <c r="F77" s="47" t="n"/>
      <c r="G77" s="50" t="n"/>
      <c r="H77" s="53" t="str">
        <f>IF($E77="Blocked",ROW(),"")</f>
        <v/>
      </c>
    </row>
    <row r="78">
      <c r="A78" s="48" t="n"/>
      <c r="B78" s="48" t="n"/>
      <c r="C78" s="50" t="n"/>
      <c r="D78" s="50" t="n"/>
      <c r="E78" s="48" t="n"/>
      <c r="F78" s="47" t="n"/>
      <c r="G78" s="50" t="n"/>
      <c r="H78" s="53" t="str">
        <f>IF($E78="Blocked",ROW(),"")</f>
        <v/>
      </c>
    </row>
    <row r="79">
      <c r="A79" s="48" t="n"/>
      <c r="B79" s="48" t="n"/>
      <c r="C79" s="50" t="n"/>
      <c r="D79" s="50" t="n"/>
      <c r="E79" s="48" t="n"/>
      <c r="F79" s="47" t="n"/>
      <c r="G79" s="50" t="n"/>
      <c r="H79" s="53" t="str">
        <f>IF($E79="Blocked",ROW(),"")</f>
        <v/>
      </c>
    </row>
    <row r="80">
      <c r="A80" s="48" t="n"/>
      <c r="B80" s="48" t="n"/>
      <c r="C80" s="50" t="n"/>
      <c r="D80" s="50" t="n"/>
      <c r="E80" s="48" t="n"/>
      <c r="F80" s="47" t="n"/>
      <c r="G80" s="50" t="n"/>
      <c r="H80" s="53" t="str">
        <f>IF($E80="Blocked",ROW(),"")</f>
        <v/>
      </c>
    </row>
    <row r="81">
      <c r="A81" s="48" t="n"/>
      <c r="B81" s="48" t="n"/>
      <c r="C81" s="50" t="n"/>
      <c r="D81" s="50" t="n"/>
      <c r="E81" s="48" t="n"/>
      <c r="F81" s="47" t="n"/>
      <c r="G81" s="50" t="n"/>
      <c r="H81" s="53" t="str">
        <f>IF($E81="Blocked",ROW(),"")</f>
        <v/>
      </c>
    </row>
    <row r="82">
      <c r="A82" s="48" t="n"/>
      <c r="B82" s="48" t="n"/>
      <c r="C82" s="50" t="n"/>
      <c r="D82" s="50" t="n"/>
      <c r="E82" s="48" t="n"/>
      <c r="F82" s="47" t="n"/>
      <c r="G82" s="50" t="n"/>
      <c r="H82" s="53" t="str">
        <f>IF($E82="Blocked",ROW(),"")</f>
        <v/>
      </c>
    </row>
    <row r="83">
      <c r="A83" s="48" t="n"/>
      <c r="B83" s="48" t="n"/>
      <c r="C83" s="50" t="n"/>
      <c r="D83" s="50" t="n"/>
      <c r="E83" s="48" t="n"/>
      <c r="F83" s="47" t="n"/>
      <c r="G83" s="50" t="n"/>
      <c r="H83" s="53" t="str">
        <f>IF($E83="Blocked",ROW(),"")</f>
        <v/>
      </c>
    </row>
    <row r="84">
      <c r="A84" s="48" t="n"/>
      <c r="B84" s="48" t="n"/>
      <c r="C84" s="50" t="n"/>
      <c r="D84" s="50" t="n"/>
      <c r="E84" s="48" t="n"/>
      <c r="F84" s="47" t="n"/>
      <c r="G84" s="50" t="n"/>
      <c r="H84" s="53" t="str">
        <f>IF($E84="Blocked",ROW(),"")</f>
        <v/>
      </c>
    </row>
    <row r="85">
      <c r="A85" s="48" t="n"/>
      <c r="B85" s="48" t="n"/>
      <c r="C85" s="50" t="n"/>
      <c r="D85" s="50" t="n"/>
      <c r="E85" s="48" t="n"/>
      <c r="F85" s="47" t="n"/>
      <c r="G85" s="50" t="n"/>
      <c r="H85" s="53" t="str">
        <f>IF($E85="Blocked",ROW(),"")</f>
        <v/>
      </c>
    </row>
    <row r="86">
      <c r="A86" s="48" t="n"/>
      <c r="B86" s="48" t="n"/>
      <c r="C86" s="50" t="n"/>
      <c r="D86" s="50" t="n"/>
      <c r="E86" s="48" t="n"/>
      <c r="F86" s="47" t="n"/>
      <c r="G86" s="50" t="n"/>
      <c r="H86" s="53" t="str">
        <f>IF($E86="Blocked",ROW(),"")</f>
        <v/>
      </c>
    </row>
    <row r="87">
      <c r="A87" s="48" t="n"/>
      <c r="B87" s="48" t="n"/>
      <c r="C87" s="50" t="n"/>
      <c r="D87" s="50" t="n"/>
      <c r="E87" s="48" t="n"/>
      <c r="F87" s="47" t="n"/>
      <c r="G87" s="50" t="n"/>
      <c r="H87" s="53" t="str">
        <f>IF($E87="Blocked",ROW(),"")</f>
        <v/>
      </c>
    </row>
    <row r="88">
      <c r="A88" s="48" t="n"/>
      <c r="B88" s="48" t="n"/>
      <c r="C88" s="50" t="n"/>
      <c r="D88" s="50" t="n"/>
      <c r="E88" s="48" t="n"/>
      <c r="F88" s="47" t="n"/>
      <c r="G88" s="50" t="n"/>
      <c r="H88" s="53" t="str">
        <f>IF($E88="Blocked",ROW(),"")</f>
        <v/>
      </c>
    </row>
    <row r="89">
      <c r="A89" s="48" t="n"/>
      <c r="B89" s="48" t="n"/>
      <c r="C89" s="50" t="n"/>
      <c r="D89" s="50" t="n"/>
      <c r="E89" s="48" t="n"/>
      <c r="F89" s="47" t="n"/>
      <c r="G89" s="50" t="n"/>
      <c r="H89" s="53" t="str">
        <f>IF($E89="Blocked",ROW(),"")</f>
        <v/>
      </c>
    </row>
    <row r="90">
      <c r="A90" s="48" t="n"/>
      <c r="B90" s="48" t="n"/>
      <c r="C90" s="50" t="n"/>
      <c r="D90" s="50" t="n"/>
      <c r="E90" s="48" t="n"/>
      <c r="F90" s="47" t="n"/>
      <c r="G90" s="50" t="n"/>
      <c r="H90" s="53" t="str">
        <f>IF($E90="Blocked",ROW(),"")</f>
        <v/>
      </c>
    </row>
    <row r="91">
      <c r="A91" s="48" t="n"/>
      <c r="B91" s="48" t="n"/>
      <c r="C91" s="50" t="n"/>
      <c r="D91" s="50" t="n"/>
      <c r="E91" s="48" t="n"/>
      <c r="F91" s="47" t="n"/>
      <c r="G91" s="50" t="n"/>
      <c r="H91" s="53" t="str">
        <f>IF($E91="Blocked",ROW(),"")</f>
        <v/>
      </c>
    </row>
    <row r="92">
      <c r="A92" s="48" t="n"/>
      <c r="B92" s="48" t="n"/>
      <c r="C92" s="50" t="n"/>
      <c r="D92" s="50" t="n"/>
      <c r="E92" s="48" t="n"/>
      <c r="F92" s="47" t="n"/>
      <c r="G92" s="50" t="n"/>
      <c r="H92" s="53" t="str">
        <f>IF($E92="Blocked",ROW(),"")</f>
        <v/>
      </c>
    </row>
    <row r="93">
      <c r="A93" s="48" t="n"/>
      <c r="B93" s="48" t="n"/>
      <c r="C93" s="50" t="n"/>
      <c r="D93" s="50" t="n"/>
      <c r="E93" s="48" t="n"/>
      <c r="F93" s="47" t="n"/>
      <c r="G93" s="50" t="n"/>
      <c r="H93" s="53" t="str">
        <f>IF($E93="Blocked",ROW(),"")</f>
        <v/>
      </c>
    </row>
    <row r="94">
      <c r="A94" s="48" t="n"/>
      <c r="B94" s="48" t="n"/>
      <c r="C94" s="50" t="n"/>
      <c r="D94" s="50" t="n"/>
      <c r="E94" s="48" t="n"/>
      <c r="F94" s="47" t="n"/>
      <c r="G94" s="50" t="n"/>
      <c r="H94" s="53" t="str">
        <f>IF($E94="Blocked",ROW(),"")</f>
        <v/>
      </c>
    </row>
    <row r="95">
      <c r="A95" s="48" t="n"/>
      <c r="B95" s="48" t="n"/>
      <c r="C95" s="50" t="n"/>
      <c r="D95" s="50" t="n"/>
      <c r="E95" s="48" t="n"/>
      <c r="F95" s="47" t="n"/>
      <c r="G95" s="50" t="n"/>
      <c r="H95" s="53" t="str">
        <f>IF($E95="Blocked",ROW(),"")</f>
        <v/>
      </c>
    </row>
    <row r="96">
      <c r="A96" s="48" t="n"/>
      <c r="B96" s="48" t="n"/>
      <c r="C96" s="50" t="n"/>
      <c r="D96" s="50" t="n"/>
      <c r="E96" s="48" t="n"/>
      <c r="F96" s="47" t="n"/>
      <c r="G96" s="50" t="n"/>
      <c r="H96" s="53" t="str">
        <f>IF($E96="Blocked",ROW(),"")</f>
        <v/>
      </c>
    </row>
    <row r="97">
      <c r="A97" s="48" t="n"/>
      <c r="B97" s="48" t="n"/>
      <c r="C97" s="50" t="n"/>
      <c r="D97" s="50" t="n"/>
      <c r="E97" s="48" t="n"/>
      <c r="F97" s="47" t="n"/>
      <c r="G97" s="50" t="n"/>
      <c r="H97" s="53" t="str">
        <f>IF($E97="Blocked",ROW(),"")</f>
        <v/>
      </c>
    </row>
    <row r="98">
      <c r="A98" s="48" t="n"/>
      <c r="B98" s="48" t="n"/>
      <c r="C98" s="50" t="n"/>
      <c r="D98" s="50" t="n"/>
      <c r="E98" s="48" t="n"/>
      <c r="F98" s="47" t="n"/>
      <c r="G98" s="50" t="n"/>
      <c r="H98" s="53" t="str">
        <f>IF($E98="Blocked",ROW(),"")</f>
        <v/>
      </c>
    </row>
    <row r="99">
      <c r="A99" s="48" t="n"/>
      <c r="B99" s="48" t="n"/>
      <c r="C99" s="50" t="n"/>
      <c r="D99" s="50" t="n"/>
      <c r="E99" s="48" t="n"/>
      <c r="F99" s="47" t="n"/>
      <c r="G99" s="50" t="n"/>
      <c r="H99" s="53" t="str">
        <f>IF($E99="Blocked",ROW(),"")</f>
        <v/>
      </c>
    </row>
    <row r="100">
      <c r="A100" s="48" t="n"/>
      <c r="B100" s="48" t="n"/>
      <c r="C100" s="50" t="n"/>
      <c r="D100" s="50" t="n"/>
      <c r="E100" s="48" t="n"/>
      <c r="F100" s="47" t="n"/>
      <c r="G100" s="50" t="n"/>
      <c r="H100" s="53" t="str">
        <f>IF($E100="Blocked",ROW(),"")</f>
        <v/>
      </c>
    </row>
    <row r="101">
      <c r="A101" s="48" t="n"/>
      <c r="B101" s="48" t="n"/>
      <c r="C101" s="50" t="n"/>
      <c r="D101" s="50" t="n"/>
      <c r="E101" s="48" t="n"/>
      <c r="F101" s="47" t="n"/>
      <c r="G101" s="50" t="n"/>
      <c r="H101" s="53" t="str">
        <f>IF($E101="Blocked",ROW(),"")</f>
        <v/>
      </c>
    </row>
    <row r="102">
      <c r="A102" s="48" t="n"/>
      <c r="B102" s="48" t="n"/>
      <c r="C102" s="50" t="n"/>
      <c r="D102" s="50" t="n"/>
      <c r="E102" s="48" t="n"/>
      <c r="F102" s="47" t="n"/>
      <c r="G102" s="50" t="n"/>
      <c r="H102" s="53" t="str">
        <f>IF($E102="Blocked",ROW(),"")</f>
        <v/>
      </c>
    </row>
    <row r="103">
      <c r="A103" s="48" t="n"/>
      <c r="B103" s="48" t="n"/>
      <c r="C103" s="50" t="n"/>
      <c r="D103" s="50" t="n"/>
      <c r="E103" s="48" t="n"/>
      <c r="F103" s="47" t="n"/>
      <c r="G103" s="50" t="n"/>
      <c r="H103" s="53" t="str">
        <f>IF($E103="Blocked",ROW(),"")</f>
        <v/>
      </c>
    </row>
    <row r="104">
      <c r="A104" s="48" t="n"/>
      <c r="B104" s="48" t="n"/>
      <c r="C104" s="50" t="n"/>
      <c r="D104" s="50" t="n"/>
      <c r="E104" s="48" t="n"/>
      <c r="F104" s="47" t="n"/>
      <c r="G104" s="50" t="n"/>
      <c r="H104" s="53" t="str">
        <f>IF($E104="Blocked",ROW(),"")</f>
        <v/>
      </c>
    </row>
    <row r="105">
      <c r="A105" s="48" t="n"/>
      <c r="B105" s="48" t="n"/>
      <c r="C105" s="50" t="n"/>
      <c r="D105" s="50" t="n"/>
      <c r="E105" s="48" t="n"/>
      <c r="F105" s="47" t="n"/>
      <c r="G105" s="50" t="n"/>
      <c r="H105" s="53" t="str">
        <f>IF($E105="Blocked",ROW(),"")</f>
        <v/>
      </c>
    </row>
    <row r="106">
      <c r="A106" s="48" t="n"/>
      <c r="B106" s="48" t="n"/>
      <c r="C106" s="50" t="n"/>
      <c r="D106" s="50" t="n"/>
      <c r="E106" s="48" t="n"/>
      <c r="F106" s="47" t="n"/>
      <c r="G106" s="50" t="n"/>
      <c r="H106" s="53" t="str">
        <f>IF($E106="Blocked",ROW(),"")</f>
        <v/>
      </c>
    </row>
    <row r="107">
      <c r="A107" s="48" t="n"/>
      <c r="B107" s="48" t="n"/>
      <c r="C107" s="50" t="n"/>
      <c r="D107" s="50" t="n"/>
      <c r="E107" s="48" t="n"/>
      <c r="F107" s="47" t="n"/>
      <c r="G107" s="50" t="n"/>
      <c r="H107" s="53" t="str">
        <f>IF($E107="Blocked",ROW(),"")</f>
        <v/>
      </c>
    </row>
    <row r="108">
      <c r="A108" s="48" t="n"/>
      <c r="B108" s="48" t="n"/>
      <c r="C108" s="50" t="n"/>
      <c r="D108" s="50" t="n"/>
      <c r="E108" s="48" t="n"/>
      <c r="F108" s="47" t="n"/>
      <c r="G108" s="50" t="n"/>
      <c r="H108" s="53" t="str">
        <f>IF($E108="Blocked",ROW(),"")</f>
        <v/>
      </c>
    </row>
    <row r="109">
      <c r="A109" s="48" t="n"/>
      <c r="B109" s="48" t="n"/>
      <c r="C109" s="50" t="n"/>
      <c r="D109" s="50" t="n"/>
      <c r="E109" s="48" t="n"/>
      <c r="F109" s="47" t="n"/>
      <c r="G109" s="50" t="n"/>
      <c r="H109" s="53" t="str">
        <f>IF($E109="Blocked",ROW(),"")</f>
        <v/>
      </c>
    </row>
    <row r="110">
      <c r="A110" s="48" t="n"/>
      <c r="B110" s="48" t="n"/>
      <c r="C110" s="50" t="n"/>
      <c r="D110" s="50" t="n"/>
      <c r="E110" s="48" t="n"/>
      <c r="F110" s="47" t="n"/>
      <c r="G110" s="50" t="n"/>
      <c r="H110" s="53" t="str">
        <f>IF($E110="Blocked",ROW(),"")</f>
        <v/>
      </c>
    </row>
    <row r="111">
      <c r="A111" s="48" t="n"/>
      <c r="B111" s="48" t="n"/>
      <c r="C111" s="50" t="n"/>
      <c r="D111" s="50" t="n"/>
      <c r="E111" s="48" t="n"/>
      <c r="F111" s="47" t="n"/>
      <c r="G111" s="50" t="n"/>
      <c r="H111" s="53" t="str">
        <f>IF($E111="Blocked",ROW(),"")</f>
        <v/>
      </c>
    </row>
    <row r="112">
      <c r="A112" s="48" t="n"/>
      <c r="B112" s="48" t="n"/>
      <c r="C112" s="50" t="n"/>
      <c r="D112" s="50" t="n"/>
      <c r="E112" s="48" t="n"/>
      <c r="F112" s="47" t="n"/>
      <c r="G112" s="50" t="n"/>
      <c r="H112" s="53" t="str">
        <f>IF($E112="Blocked",ROW(),"")</f>
        <v/>
      </c>
    </row>
    <row r="113">
      <c r="A113" s="48" t="n"/>
      <c r="B113" s="48" t="n"/>
      <c r="C113" s="50" t="n"/>
      <c r="D113" s="50" t="n"/>
      <c r="E113" s="48" t="n"/>
      <c r="F113" s="47" t="n"/>
      <c r="G113" s="50" t="n"/>
      <c r="H113" s="53" t="str">
        <f>IF($E113="Blocked",ROW(),"")</f>
        <v/>
      </c>
    </row>
    <row r="114">
      <c r="A114" s="48" t="n"/>
      <c r="B114" s="48" t="n"/>
      <c r="C114" s="50" t="n"/>
      <c r="D114" s="50" t="n"/>
      <c r="E114" s="48" t="n"/>
      <c r="F114" s="47" t="n"/>
      <c r="G114" s="50" t="n"/>
      <c r="H114" s="53" t="str">
        <f>IF($E114="Blocked",ROW(),"")</f>
        <v/>
      </c>
    </row>
    <row r="115">
      <c r="A115" s="48" t="n"/>
      <c r="B115" s="48" t="n"/>
      <c r="C115" s="50" t="n"/>
      <c r="D115" s="50" t="n"/>
      <c r="E115" s="48" t="n"/>
      <c r="F115" s="47" t="n"/>
      <c r="G115" s="50" t="n"/>
      <c r="H115" s="53" t="str">
        <f>IF($E115="Blocked",ROW(),"")</f>
        <v/>
      </c>
    </row>
    <row r="116">
      <c r="A116" s="48" t="n"/>
      <c r="B116" s="48" t="n"/>
      <c r="C116" s="50" t="n"/>
      <c r="D116" s="50" t="n"/>
      <c r="E116" s="48" t="n"/>
      <c r="F116" s="47" t="n"/>
      <c r="G116" s="50" t="n"/>
      <c r="H116" s="53" t="str">
        <f>IF($E116="Blocked",ROW(),"")</f>
        <v/>
      </c>
    </row>
    <row r="117">
      <c r="A117" s="48" t="n"/>
      <c r="B117" s="48" t="n"/>
      <c r="C117" s="50" t="n"/>
      <c r="D117" s="50" t="n"/>
      <c r="E117" s="48" t="n"/>
      <c r="F117" s="47" t="n"/>
      <c r="G117" s="50" t="n"/>
      <c r="H117" s="53" t="str">
        <f>IF($E117="Blocked",ROW(),"")</f>
        <v/>
      </c>
    </row>
    <row r="118">
      <c r="A118" s="48" t="n"/>
      <c r="B118" s="48" t="n"/>
      <c r="C118" s="50" t="n"/>
      <c r="D118" s="50" t="n"/>
      <c r="E118" s="48" t="n"/>
      <c r="F118" s="47" t="n"/>
      <c r="G118" s="50" t="n"/>
      <c r="H118" s="53" t="str">
        <f>IF($E118="Blocked",ROW(),"")</f>
        <v/>
      </c>
    </row>
    <row r="119">
      <c r="A119" s="48" t="n"/>
      <c r="B119" s="48" t="n"/>
      <c r="C119" s="50" t="n"/>
      <c r="D119" s="50" t="n"/>
      <c r="E119" s="48" t="n"/>
      <c r="F119" s="47" t="n"/>
      <c r="G119" s="50" t="n"/>
      <c r="H119" s="53" t="str">
        <f>IF($E119="Blocked",ROW(),"")</f>
        <v/>
      </c>
    </row>
    <row r="120">
      <c r="A120" s="48" t="n"/>
      <c r="B120" s="48" t="n"/>
      <c r="C120" s="50" t="n"/>
      <c r="D120" s="50" t="n"/>
      <c r="E120" s="48" t="n"/>
      <c r="F120" s="47" t="n"/>
      <c r="G120" s="50" t="n"/>
      <c r="H120" s="53" t="str">
        <f>IF($E120="Blocked",ROW(),"")</f>
        <v/>
      </c>
    </row>
    <row r="121">
      <c r="A121" s="48" t="n"/>
      <c r="B121" s="48" t="n"/>
      <c r="C121" s="50" t="n"/>
      <c r="D121" s="50" t="n"/>
      <c r="E121" s="48" t="n"/>
      <c r="F121" s="47" t="n"/>
      <c r="G121" s="50" t="n"/>
      <c r="H121" s="53" t="str">
        <f>IF($E121="Blocked",ROW(),"")</f>
        <v/>
      </c>
    </row>
    <row r="122">
      <c r="A122" s="48" t="n"/>
      <c r="B122" s="48" t="n"/>
      <c r="C122" s="50" t="n"/>
      <c r="D122" s="50" t="n"/>
      <c r="E122" s="48" t="n"/>
      <c r="F122" s="47" t="n"/>
      <c r="G122" s="50" t="n"/>
      <c r="H122" s="53" t="str">
        <f>IF($E122="Blocked",ROW(),"")</f>
        <v/>
      </c>
    </row>
    <row r="123">
      <c r="A123" s="48" t="n"/>
      <c r="B123" s="48" t="n"/>
      <c r="C123" s="50" t="n"/>
      <c r="D123" s="50" t="n"/>
      <c r="E123" s="48" t="n"/>
      <c r="F123" s="47" t="n"/>
      <c r="G123" s="50" t="n"/>
      <c r="H123" s="53" t="str">
        <f>IF($E123="Blocked",ROW(),"")</f>
        <v/>
      </c>
    </row>
    <row r="124">
      <c r="A124" s="48" t="n"/>
      <c r="B124" s="48" t="n"/>
      <c r="C124" s="50" t="n"/>
      <c r="D124" s="50" t="n"/>
      <c r="E124" s="48" t="n"/>
      <c r="F124" s="47" t="n"/>
      <c r="G124" s="50" t="n"/>
      <c r="H124" s="53" t="str">
        <f>IF($E124="Blocked",ROW(),"")</f>
        <v/>
      </c>
    </row>
    <row r="125">
      <c r="A125" s="48" t="n"/>
      <c r="B125" s="48" t="n"/>
      <c r="C125" s="50" t="n"/>
      <c r="D125" s="50" t="n"/>
      <c r="E125" s="48" t="n"/>
      <c r="F125" s="47" t="n"/>
      <c r="G125" s="50" t="n"/>
      <c r="H125" s="53" t="str">
        <f>IF($E125="Blocked",ROW(),"")</f>
        <v/>
      </c>
    </row>
    <row r="126">
      <c r="A126" s="48" t="n"/>
      <c r="B126" s="48" t="n"/>
      <c r="C126" s="50" t="n"/>
      <c r="D126" s="50" t="n"/>
      <c r="E126" s="48" t="n"/>
      <c r="F126" s="47" t="n"/>
      <c r="G126" s="50" t="n"/>
      <c r="H126" s="53" t="str">
        <f>IF($E126="Blocked",ROW(),"")</f>
        <v/>
      </c>
    </row>
    <row r="127">
      <c r="A127" s="48" t="n"/>
      <c r="B127" s="48" t="n"/>
      <c r="C127" s="50" t="n"/>
      <c r="D127" s="50" t="n"/>
      <c r="E127" s="48" t="n"/>
      <c r="F127" s="47" t="n"/>
      <c r="G127" s="50" t="n"/>
      <c r="H127" s="53" t="str">
        <f>IF($E127="Blocked",ROW(),"")</f>
        <v/>
      </c>
    </row>
    <row r="128">
      <c r="A128" s="48" t="n"/>
      <c r="B128" s="48" t="n"/>
      <c r="C128" s="50" t="n"/>
      <c r="D128" s="50" t="n"/>
      <c r="E128" s="48" t="n"/>
      <c r="F128" s="47" t="n"/>
      <c r="G128" s="50" t="n"/>
      <c r="H128" s="53" t="str">
        <f>IF($E128="Blocked",ROW(),"")</f>
        <v/>
      </c>
    </row>
    <row r="129">
      <c r="A129" s="48" t="n"/>
      <c r="B129" s="48" t="n"/>
      <c r="C129" s="50" t="n"/>
      <c r="D129" s="50" t="n"/>
      <c r="E129" s="48" t="n"/>
      <c r="F129" s="47" t="n"/>
      <c r="G129" s="50" t="n"/>
      <c r="H129" s="53" t="str">
        <f>IF($E129="Blocked",ROW(),"")</f>
        <v/>
      </c>
    </row>
    <row r="130">
      <c r="A130" s="48" t="n"/>
      <c r="B130" s="48" t="n"/>
      <c r="C130" s="50" t="n"/>
      <c r="D130" s="50" t="n"/>
      <c r="E130" s="48" t="n"/>
      <c r="F130" s="47" t="n"/>
      <c r="G130" s="50" t="n"/>
      <c r="H130" s="53" t="str">
        <f>IF($E130="Blocked",ROW(),"")</f>
        <v/>
      </c>
    </row>
    <row r="131">
      <c r="A131" s="48" t="n"/>
      <c r="B131" s="48" t="n"/>
      <c r="C131" s="50" t="n"/>
      <c r="D131" s="50" t="n"/>
      <c r="E131" s="48" t="n"/>
      <c r="F131" s="47" t="n"/>
      <c r="G131" s="50" t="n"/>
      <c r="H131" s="53" t="str">
        <f>IF($E131="Blocked",ROW(),"")</f>
        <v/>
      </c>
    </row>
    <row r="132">
      <c r="A132" s="48" t="n"/>
      <c r="B132" s="48" t="n"/>
      <c r="C132" s="50" t="n"/>
      <c r="D132" s="50" t="n"/>
      <c r="E132" s="48" t="n"/>
      <c r="F132" s="47" t="n"/>
      <c r="G132" s="50" t="n"/>
      <c r="H132" s="53" t="str">
        <f>IF($E132="Blocked",ROW(),"")</f>
        <v/>
      </c>
    </row>
    <row r="133">
      <c r="A133" s="48" t="n"/>
      <c r="B133" s="48" t="n"/>
      <c r="C133" s="50" t="n"/>
      <c r="D133" s="50" t="n"/>
      <c r="E133" s="48" t="n"/>
      <c r="F133" s="47" t="n"/>
      <c r="G133" s="50" t="n"/>
      <c r="H133" s="53" t="str">
        <f>IF($E133="Blocked",ROW(),"")</f>
        <v/>
      </c>
    </row>
    <row r="134">
      <c r="A134" s="48" t="n"/>
      <c r="B134" s="48" t="n"/>
      <c r="C134" s="50" t="n"/>
      <c r="D134" s="50" t="n"/>
      <c r="E134" s="48" t="n"/>
      <c r="F134" s="47" t="n"/>
      <c r="G134" s="50" t="n"/>
      <c r="H134" s="53" t="str">
        <f>IF($E134="Blocked",ROW(),"")</f>
        <v/>
      </c>
    </row>
    <row r="135">
      <c r="A135" s="48" t="n"/>
      <c r="B135" s="48" t="n"/>
      <c r="C135" s="50" t="n"/>
      <c r="D135" s="50" t="n"/>
      <c r="E135" s="48" t="n"/>
      <c r="F135" s="47" t="n"/>
      <c r="G135" s="50" t="n"/>
      <c r="H135" s="53" t="str">
        <f>IF($E135="Blocked",ROW(),"")</f>
        <v/>
      </c>
    </row>
    <row r="136">
      <c r="A136" s="48" t="n"/>
      <c r="B136" s="48" t="n"/>
      <c r="C136" s="50" t="n"/>
      <c r="D136" s="50" t="n"/>
      <c r="E136" s="48" t="n"/>
      <c r="F136" s="47" t="n"/>
      <c r="G136" s="50" t="n"/>
      <c r="H136" s="53" t="str">
        <f>IF($E136="Blocked",ROW(),"")</f>
        <v/>
      </c>
    </row>
    <row r="137">
      <c r="A137" s="48" t="n"/>
      <c r="B137" s="48" t="n"/>
      <c r="C137" s="50" t="n"/>
      <c r="D137" s="50" t="n"/>
      <c r="E137" s="48" t="n"/>
      <c r="F137" s="47" t="n"/>
      <c r="G137" s="50" t="n"/>
      <c r="H137" s="53" t="str">
        <f>IF($E137="Blocked",ROW(),"")</f>
        <v/>
      </c>
    </row>
    <row r="138">
      <c r="A138" s="48" t="n"/>
      <c r="B138" s="48" t="n"/>
      <c r="C138" s="50" t="n"/>
      <c r="D138" s="50" t="n"/>
      <c r="E138" s="48" t="n"/>
      <c r="F138" s="47" t="n"/>
      <c r="G138" s="50" t="n"/>
      <c r="H138" s="53" t="str">
        <f>IF($E138="Blocked",ROW(),"")</f>
        <v/>
      </c>
    </row>
    <row r="139">
      <c r="A139" s="48" t="n"/>
      <c r="B139" s="48" t="n"/>
      <c r="C139" s="50" t="n"/>
      <c r="D139" s="50" t="n"/>
      <c r="E139" s="48" t="n"/>
      <c r="F139" s="47" t="n"/>
      <c r="G139" s="50" t="n"/>
      <c r="H139" s="53" t="str">
        <f>IF($E139="Blocked",ROW(),"")</f>
        <v/>
      </c>
    </row>
    <row r="140">
      <c r="A140" s="48" t="n"/>
      <c r="B140" s="48" t="n"/>
      <c r="C140" s="50" t="n"/>
      <c r="D140" s="50" t="n"/>
      <c r="E140" s="48" t="n"/>
      <c r="F140" s="47" t="n"/>
      <c r="G140" s="50" t="n"/>
      <c r="H140" s="53" t="str">
        <f>IF($E140="Blocked",ROW(),"")</f>
        <v/>
      </c>
    </row>
    <row r="141">
      <c r="A141" s="48" t="n"/>
      <c r="B141" s="48" t="n"/>
      <c r="C141" s="50" t="n"/>
      <c r="D141" s="50" t="n"/>
      <c r="E141" s="48" t="n"/>
      <c r="F141" s="47" t="n"/>
      <c r="G141" s="50" t="n"/>
      <c r="H141" s="53" t="str">
        <f>IF($E141="Blocked",ROW(),"")</f>
        <v/>
      </c>
    </row>
    <row r="142">
      <c r="A142" s="48" t="n"/>
      <c r="B142" s="48" t="n"/>
      <c r="C142" s="50" t="n"/>
      <c r="D142" s="50" t="n"/>
      <c r="E142" s="48" t="n"/>
      <c r="F142" s="47" t="n"/>
      <c r="G142" s="50" t="n"/>
      <c r="H142" s="53" t="str">
        <f>IF($E142="Blocked",ROW(),"")</f>
        <v/>
      </c>
    </row>
    <row r="143">
      <c r="A143" s="48" t="n"/>
      <c r="B143" s="48" t="n"/>
      <c r="C143" s="50" t="n"/>
      <c r="D143" s="50" t="n"/>
      <c r="E143" s="48" t="n"/>
      <c r="F143" s="47" t="n"/>
      <c r="G143" s="50" t="n"/>
      <c r="H143" s="53" t="str">
        <f>IF($E143="Blocked",ROW(),"")</f>
        <v/>
      </c>
    </row>
    <row r="144">
      <c r="A144" s="48" t="n"/>
      <c r="B144" s="48" t="n"/>
      <c r="C144" s="50" t="n"/>
      <c r="D144" s="50" t="n"/>
      <c r="E144" s="48" t="n"/>
      <c r="F144" s="47" t="n"/>
      <c r="G144" s="50" t="n"/>
      <c r="H144" s="53" t="str">
        <f>IF($E144="Blocked",ROW(),"")</f>
        <v/>
      </c>
    </row>
    <row r="145">
      <c r="A145" s="48" t="n"/>
      <c r="B145" s="48" t="n"/>
      <c r="C145" s="50" t="n"/>
      <c r="D145" s="50" t="n"/>
      <c r="E145" s="48" t="n"/>
      <c r="F145" s="47" t="n"/>
      <c r="G145" s="50" t="n"/>
      <c r="H145" s="53" t="str">
        <f>IF($E145="Blocked",ROW(),"")</f>
        <v/>
      </c>
    </row>
    <row r="146">
      <c r="A146" s="48" t="n"/>
      <c r="B146" s="48" t="n"/>
      <c r="C146" s="50" t="n"/>
      <c r="D146" s="50" t="n"/>
      <c r="E146" s="48" t="n"/>
      <c r="F146" s="47" t="n"/>
      <c r="G146" s="50" t="n"/>
      <c r="H146" s="53" t="str">
        <f>IF($E146="Blocked",ROW(),"")</f>
        <v/>
      </c>
    </row>
    <row r="147">
      <c r="A147" s="48" t="n"/>
      <c r="B147" s="48" t="n"/>
      <c r="C147" s="50" t="n"/>
      <c r="D147" s="50" t="n"/>
      <c r="E147" s="48" t="n"/>
      <c r="F147" s="47" t="n"/>
      <c r="G147" s="50" t="n"/>
      <c r="H147" s="53" t="str">
        <f>IF($E147="Blocked",ROW(),"")</f>
        <v/>
      </c>
    </row>
    <row r="148">
      <c r="A148" s="48" t="n"/>
      <c r="B148" s="48" t="n"/>
      <c r="C148" s="50" t="n"/>
      <c r="D148" s="50" t="n"/>
      <c r="E148" s="48" t="n"/>
      <c r="F148" s="47" t="n"/>
      <c r="G148" s="50" t="n"/>
      <c r="H148" s="53" t="str">
        <f>IF($E148="Blocked",ROW(),"")</f>
        <v/>
      </c>
    </row>
    <row r="149">
      <c r="A149" s="48" t="n"/>
      <c r="B149" s="48" t="n"/>
      <c r="C149" s="50" t="n"/>
      <c r="D149" s="50" t="n"/>
      <c r="E149" s="48" t="n"/>
      <c r="F149" s="47" t="n"/>
      <c r="G149" s="50" t="n"/>
      <c r="H149" s="53" t="str">
        <f>IF($E149="Blocked",ROW(),"")</f>
        <v/>
      </c>
    </row>
    <row r="150">
      <c r="A150" s="48" t="n"/>
      <c r="B150" s="48" t="n"/>
      <c r="C150" s="50" t="n"/>
      <c r="D150" s="50" t="n"/>
      <c r="E150" s="48" t="n"/>
      <c r="F150" s="47" t="n"/>
      <c r="G150" s="50" t="n"/>
      <c r="H150" s="53" t="str">
        <f>IF($E150="Blocked",ROW(),"")</f>
        <v/>
      </c>
    </row>
    <row r="151">
      <c r="A151" s="48" t="n"/>
      <c r="B151" s="48" t="n"/>
      <c r="C151" s="50" t="n"/>
      <c r="D151" s="50" t="n"/>
      <c r="E151" s="48" t="n"/>
      <c r="F151" s="47" t="n"/>
      <c r="G151" s="50" t="n"/>
      <c r="H151" s="53" t="str">
        <f>IF($E151="Blocked",ROW(),"")</f>
        <v/>
      </c>
    </row>
    <row r="152">
      <c r="A152" s="48" t="n"/>
      <c r="B152" s="48" t="n"/>
      <c r="C152" s="50" t="n"/>
      <c r="D152" s="50" t="n"/>
      <c r="E152" s="48" t="n"/>
      <c r="F152" s="47" t="n"/>
      <c r="G152" s="50" t="n"/>
      <c r="H152" s="53" t="str">
        <f>IF($E152="Blocked",ROW(),"")</f>
        <v/>
      </c>
    </row>
    <row r="153">
      <c r="A153" s="48" t="n"/>
      <c r="B153" s="48" t="n"/>
      <c r="C153" s="50" t="n"/>
      <c r="D153" s="50" t="n"/>
      <c r="E153" s="48" t="n"/>
      <c r="F153" s="47" t="n"/>
      <c r="G153" s="50" t="n"/>
      <c r="H153" s="53" t="str">
        <f>IF($E153="Blocked",ROW(),"")</f>
        <v/>
      </c>
    </row>
    <row r="154">
      <c r="A154" s="48" t="n"/>
      <c r="B154" s="48" t="n"/>
      <c r="C154" s="50" t="n"/>
      <c r="D154" s="50" t="n"/>
      <c r="E154" s="48" t="n"/>
      <c r="F154" s="47" t="n"/>
      <c r="G154" s="50" t="n"/>
      <c r="H154" s="53" t="str">
        <f>IF($E154="Blocked",ROW(),"")</f>
        <v/>
      </c>
    </row>
  </sheetData>
  <mergeCells count="1">
    <mergeCell ref="A1:H1"/>
  </mergeCells>
  <conditionalFormatting sqref="E5:E154">
    <cfRule type="expression" priority="1" dxfId="3">
      <formula>$E5="Blocked"</formula>
    </cfRule>
    <cfRule type="expression" priority="2" dxfId="5">
      <formula>$E5="Done"</formula>
    </cfRule>
    <cfRule type="expression" priority="3" dxfId="6">
      <formula>$E5="In Progress"</formula>
    </cfRule>
  </conditionalFormatting>
  <dataValidations count="4">
    <dataValidation sqref="A5:A154" showDropDown="0" showInputMessage="0" showErrorMessage="1" allowBlank="1" errorTitle="Pick from list" error="Please choose a value from the dropdown (lists are maintained in MASTER DATA / CLIENT MASTER / CAMPAIGN MASTER)." type="list" errorStyle="stop">
      <formula1>=lst_Team</formula1>
    </dataValidation>
    <dataValidation sqref="B5:B154" showDropDown="0" showInputMessage="0" showErrorMessage="1" allowBlank="1" errorTitle="Pick from list" error="Please choose a value from the dropdown (lists are maintained in MASTER DATA / CLIENT MASTER / CAMPAIGN MASTER)." type="list" errorStyle="stop">
      <formula1>=lst_Client</formula1>
    </dataValidation>
    <dataValidation sqref="E5:E154" showDropDown="0" showInputMessage="0" showErrorMessage="1" allowBlank="1" errorTitle="Pick from list" error="Please choose a value from the dropdown (lists are maintained in MASTER DATA / CLIENT MASTER / CAMPAIGN MASTER)." type="list" errorStyle="stop">
      <formula1>=lst_PStatus</formula1>
    </dataValidation>
    <dataValidation sqref="F5:F154" showDropDown="0" showInputMessage="0" showErrorMessage="1" allowBlank="1" errorTitle="Invalid date" error="Enter a valid date, e.g. 05-Oct-2026." type="date" operator="greaterThan">
      <formula1>36526</formula1>
    </dataValidation>
  </dataValidations>
  <pageMargins left="0.75" right="0.75" top="1" bottom="1" header="0.5" footer="0.5"/>
  <pageSetup orientation="landscape" fitToHeight="0" fitToWidth="1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tabColor rgb="002F5597"/>
    <outlinePr summaryBelow="1" summaryRight="1"/>
    <pageSetUpPr fitToPage="1"/>
  </sheetPr>
  <dimension ref="A1:E44"/>
  <sheetViews>
    <sheetView showGridLines="0" tabSelected="0" zoomScale="9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12" customWidth="1" min="2" max="2"/>
    <col width="11" customWidth="1" min="3" max="3"/>
    <col width="36" customWidth="1" min="4" max="4"/>
    <col width="70" customWidth="1" min="5" max="5"/>
  </cols>
  <sheetData>
    <row r="1" ht="30" customHeight="1">
      <c r="A1" s="42" t="inlineStr">
        <is>
          <t>CLIENTS - one row per client</t>
        </is>
      </c>
      <c r="B1" s="2" t="n"/>
      <c r="C1" s="2" t="n"/>
      <c r="D1" s="2" t="n"/>
      <c r="E1" s="2" t="n"/>
    </row>
    <row r="2">
      <c r="A2" s="5" t="inlineStr">
        <is>
          <t>BLUE cells = team enters data   |   GREY cells = automatic formulas (do not edit)   |   Add a new client here first - it then appears in all dropdowns.</t>
        </is>
      </c>
    </row>
    <row r="4" ht="34" customHeight="1">
      <c r="A4" s="44" t="inlineStr">
        <is>
          <t>Client</t>
        </is>
      </c>
      <c r="B4" s="44" t="inlineStr">
        <is>
          <t>Status</t>
        </is>
      </c>
      <c r="C4" s="44" t="inlineStr">
        <is>
          <t>Type</t>
        </is>
      </c>
      <c r="D4" s="44" t="inlineStr">
        <is>
          <t>Services</t>
        </is>
      </c>
      <c r="E4" s="44" t="inlineStr">
        <is>
          <t>Notes</t>
        </is>
      </c>
    </row>
    <row r="5">
      <c r="A5" s="48" t="inlineStr">
        <is>
          <t>Chola MS</t>
        </is>
      </c>
      <c r="B5" s="48" t="inlineStr">
        <is>
          <t>Active</t>
        </is>
      </c>
      <c r="C5" s="48" t="inlineStr">
        <is>
          <t>External</t>
        </is>
      </c>
      <c r="D5" s="50" t="inlineStr">
        <is>
          <t>SEO | Social Media Management</t>
        </is>
      </c>
      <c r="E5" s="50" t="n"/>
    </row>
    <row r="6">
      <c r="A6" s="48" t="inlineStr">
        <is>
          <t>Magnasoft</t>
        </is>
      </c>
      <c r="B6" s="48" t="inlineStr">
        <is>
          <t>Active</t>
        </is>
      </c>
      <c r="C6" s="48" t="inlineStr">
        <is>
          <t>External</t>
        </is>
      </c>
      <c r="D6" s="50" t="inlineStr">
        <is>
          <t>SEO | Social Media Management | Paid Ads</t>
        </is>
      </c>
      <c r="E6" s="50" t="inlineStr">
        <is>
          <t>Website Revamp proposal in pipeline (priority High, 90 days).</t>
        </is>
      </c>
    </row>
    <row r="7">
      <c r="A7" s="48" t="inlineStr">
        <is>
          <t>Eternelle</t>
        </is>
      </c>
      <c r="B7" s="48" t="inlineStr">
        <is>
          <t>Active</t>
        </is>
      </c>
      <c r="C7" s="48" t="inlineStr">
        <is>
          <t>External</t>
        </is>
      </c>
      <c r="D7" s="50" t="inlineStr">
        <is>
          <t>SEO | Paid Ads</t>
        </is>
      </c>
      <c r="E7" s="50" t="n"/>
    </row>
    <row r="8">
      <c r="A8" s="48" t="inlineStr">
        <is>
          <t>Vestrics</t>
        </is>
      </c>
      <c r="B8" s="48" t="inlineStr">
        <is>
          <t>Active</t>
        </is>
      </c>
      <c r="C8" s="48" t="inlineStr">
        <is>
          <t>External</t>
        </is>
      </c>
      <c r="D8" s="50" t="inlineStr">
        <is>
          <t>SEO | Creative Mandate | Paid Ads | Social Media Management</t>
        </is>
      </c>
      <c r="E8" s="50" t="n"/>
    </row>
    <row r="9">
      <c r="A9" s="48" t="inlineStr">
        <is>
          <t>Lenovo</t>
        </is>
      </c>
      <c r="B9" s="48" t="inlineStr">
        <is>
          <t>Active</t>
        </is>
      </c>
      <c r="C9" s="48" t="inlineStr">
        <is>
          <t>External</t>
        </is>
      </c>
      <c r="D9" s="50" t="inlineStr">
        <is>
          <t>Email Deployment</t>
        </is>
      </c>
      <c r="E9" s="50" t="inlineStr">
        <is>
          <t>Lenovo EDM proposal in pipeline (High @90, 14 weeks). No update received from team on Lenovo.</t>
        </is>
      </c>
    </row>
    <row r="10">
      <c r="A10" s="48" t="inlineStr">
        <is>
          <t>SAP</t>
        </is>
      </c>
      <c r="B10" s="48" t="inlineStr">
        <is>
          <t>Active</t>
        </is>
      </c>
      <c r="C10" s="48" t="inlineStr">
        <is>
          <t>Internal</t>
        </is>
      </c>
      <c r="D10" s="50" t="inlineStr">
        <is>
          <t>Email Deployment</t>
        </is>
      </c>
      <c r="E10" s="50" t="inlineStr">
        <is>
          <t>Also: SAP Drip Campaigns - Install Base (Internal, Active). Alignment (BDMIS) yet to be done per billing sheet.</t>
        </is>
      </c>
    </row>
    <row r="11">
      <c r="A11" s="48" t="inlineStr">
        <is>
          <t>Tata Communications</t>
        </is>
      </c>
      <c r="B11" s="48" t="inlineStr">
        <is>
          <t>Active</t>
        </is>
      </c>
      <c r="C11" s="48" t="inlineStr">
        <is>
          <t>Internal</t>
        </is>
      </c>
      <c r="D11" s="50" t="inlineStr">
        <is>
          <t>Not Available</t>
        </is>
      </c>
      <c r="E11" s="50" t="inlineStr">
        <is>
          <t>Alignment (BDMIS) yet to be done per billing sheet.</t>
        </is>
      </c>
    </row>
    <row r="12">
      <c r="A12" s="48" t="inlineStr">
        <is>
          <t>Tata Communications MECCA</t>
        </is>
      </c>
      <c r="B12" s="48" t="inlineStr">
        <is>
          <t>Active</t>
        </is>
      </c>
      <c r="C12" s="48" t="inlineStr">
        <is>
          <t>Internal</t>
        </is>
      </c>
      <c r="D12" s="50" t="inlineStr">
        <is>
          <t>Not Available</t>
        </is>
      </c>
      <c r="E12" s="50" t="inlineStr">
        <is>
          <t>Alignment (BDMIS) yet to be done per billing sheet.</t>
        </is>
      </c>
    </row>
    <row r="13">
      <c r="A13" s="48" t="inlineStr">
        <is>
          <t>Salesforce</t>
        </is>
      </c>
      <c r="B13" s="48" t="inlineStr">
        <is>
          <t>Active</t>
        </is>
      </c>
      <c r="C13" s="48" t="inlineStr">
        <is>
          <t>Internal</t>
        </is>
      </c>
      <c r="D13" s="50" t="inlineStr">
        <is>
          <t>Not Available</t>
        </is>
      </c>
      <c r="E13" s="50" t="inlineStr">
        <is>
          <t>Validity: TBD per billing sheet.</t>
        </is>
      </c>
    </row>
    <row r="14">
      <c r="A14" s="48" t="inlineStr">
        <is>
          <t>Ruckus Networks</t>
        </is>
      </c>
      <c r="B14" s="48" t="inlineStr">
        <is>
          <t>Active</t>
        </is>
      </c>
      <c r="C14" s="48" t="inlineStr">
        <is>
          <t>External</t>
        </is>
      </c>
      <c r="D14" s="50" t="inlineStr">
        <is>
          <t>Email creation &amp; Landing Page</t>
        </is>
      </c>
      <c r="E14" s="50" t="inlineStr">
        <is>
          <t>TO CONFIRM: billing sheet marks this 'Closed' but team is actively working it (50 form-fill target).</t>
        </is>
      </c>
    </row>
    <row r="15">
      <c r="A15" s="48" t="inlineStr">
        <is>
          <t>Google Chrome Enterprise</t>
        </is>
      </c>
      <c r="B15" s="48" t="inlineStr">
        <is>
          <t>Active</t>
        </is>
      </c>
      <c r="C15" s="48" t="inlineStr">
        <is>
          <t>Internal</t>
        </is>
      </c>
      <c r="D15" s="50" t="inlineStr">
        <is>
          <t>Email Deployment</t>
        </is>
      </c>
      <c r="E15" s="50" t="inlineStr">
        <is>
          <t>TO CONFIRM: billing sheet marks this 'Closed' with validity to 1-Oct-2026; team still reporting work.</t>
        </is>
      </c>
    </row>
    <row r="16">
      <c r="A16" s="48" t="inlineStr">
        <is>
          <t>Equinix</t>
        </is>
      </c>
      <c r="B16" s="48" t="inlineStr">
        <is>
          <t>Active</t>
        </is>
      </c>
      <c r="C16" s="48" t="inlineStr">
        <is>
          <t>Internal</t>
        </is>
      </c>
      <c r="D16" s="50" t="inlineStr">
        <is>
          <t>Email creation &amp; Landing Page</t>
        </is>
      </c>
      <c r="E16" s="50" t="inlineStr">
        <is>
          <t>TO CONFIRM: billing sheet marks this 'Closed'; team actively working it (150 form-fill target).</t>
        </is>
      </c>
    </row>
    <row r="17">
      <c r="A17" s="48" t="inlineStr">
        <is>
          <t>Sonalika Tractors</t>
        </is>
      </c>
      <c r="B17" s="48" t="inlineStr">
        <is>
          <t>Pipeline</t>
        </is>
      </c>
      <c r="C17" s="48" t="inlineStr">
        <is>
          <t>External</t>
        </is>
      </c>
      <c r="D17" s="50" t="inlineStr">
        <is>
          <t>Meta Automation</t>
        </is>
      </c>
      <c r="E17" s="50" t="inlineStr">
        <is>
          <t>Proposal stage, priority High, monthly retainer. No BDMIS alignment. No update from team yet.</t>
        </is>
      </c>
    </row>
    <row r="18">
      <c r="A18" s="48" t="inlineStr">
        <is>
          <t>AMEX</t>
        </is>
      </c>
      <c r="B18" s="48" t="inlineStr">
        <is>
          <t>Pipeline</t>
        </is>
      </c>
      <c r="C18" s="48" t="inlineStr">
        <is>
          <t>External</t>
        </is>
      </c>
      <c r="D18" s="50" t="inlineStr">
        <is>
          <t>Email Deployment</t>
        </is>
      </c>
      <c r="E18" s="50" t="inlineStr">
        <is>
          <t>Email deployment planned Nov &amp; Dec (proposal marked 'Closed'; high @90, no BDMIS alignment).</t>
        </is>
      </c>
    </row>
    <row r="19">
      <c r="A19" s="48" t="inlineStr">
        <is>
          <t>Marg Business Transformation</t>
        </is>
      </c>
      <c r="B19" s="48" t="inlineStr">
        <is>
          <t>Ended</t>
        </is>
      </c>
      <c r="C19" s="48" t="inlineStr">
        <is>
          <t>External</t>
        </is>
      </c>
      <c r="D19" s="50" t="inlineStr">
        <is>
          <t>Digital Marketing</t>
        </is>
      </c>
      <c r="E19" s="50" t="inlineStr">
        <is>
          <t>Engagement closed. Last day: 11 September.</t>
        </is>
      </c>
    </row>
    <row r="20">
      <c r="A20" s="48" t="inlineStr">
        <is>
          <t>Utimaco Singapore</t>
        </is>
      </c>
      <c r="B20" s="48" t="inlineStr">
        <is>
          <t>To Confirm</t>
        </is>
      </c>
      <c r="C20" s="48" t="n"/>
      <c r="D20" s="50" t="inlineStr">
        <is>
          <t>Content Syndication - Email</t>
        </is>
      </c>
      <c r="E20" s="50" t="inlineStr">
        <is>
          <t>Listed in Surbhi's program list only; client/commercial status not in billing sheet.</t>
        </is>
      </c>
    </row>
    <row r="21">
      <c r="A21" s="48" t="n"/>
      <c r="B21" s="48" t="n"/>
      <c r="C21" s="48" t="n"/>
      <c r="D21" s="50" t="n"/>
      <c r="E21" s="50" t="n"/>
    </row>
    <row r="22">
      <c r="A22" s="48" t="n"/>
      <c r="B22" s="48" t="n"/>
      <c r="C22" s="48" t="n"/>
      <c r="D22" s="50" t="n"/>
      <c r="E22" s="50" t="n"/>
    </row>
    <row r="23">
      <c r="A23" s="48" t="n"/>
      <c r="B23" s="48" t="n"/>
      <c r="C23" s="48" t="n"/>
      <c r="D23" s="50" t="n"/>
      <c r="E23" s="50" t="n"/>
    </row>
    <row r="24">
      <c r="A24" s="48" t="n"/>
      <c r="B24" s="48" t="n"/>
      <c r="C24" s="48" t="n"/>
      <c r="D24" s="50" t="n"/>
      <c r="E24" s="50" t="n"/>
    </row>
    <row r="25">
      <c r="A25" s="48" t="n"/>
      <c r="B25" s="48" t="n"/>
      <c r="C25" s="48" t="n"/>
      <c r="D25" s="50" t="n"/>
      <c r="E25" s="50" t="n"/>
    </row>
    <row r="26">
      <c r="A26" s="48" t="n"/>
      <c r="B26" s="48" t="n"/>
      <c r="C26" s="48" t="n"/>
      <c r="D26" s="50" t="n"/>
      <c r="E26" s="50" t="n"/>
    </row>
    <row r="27">
      <c r="A27" s="48" t="n"/>
      <c r="B27" s="48" t="n"/>
      <c r="C27" s="48" t="n"/>
      <c r="D27" s="50" t="n"/>
      <c r="E27" s="50" t="n"/>
    </row>
    <row r="28">
      <c r="A28" s="48" t="n"/>
      <c r="B28" s="48" t="n"/>
      <c r="C28" s="48" t="n"/>
      <c r="D28" s="50" t="n"/>
      <c r="E28" s="50" t="n"/>
    </row>
    <row r="29">
      <c r="A29" s="48" t="n"/>
      <c r="B29" s="48" t="n"/>
      <c r="C29" s="48" t="n"/>
      <c r="D29" s="50" t="n"/>
      <c r="E29" s="50" t="n"/>
    </row>
    <row r="30">
      <c r="A30" s="48" t="n"/>
      <c r="B30" s="48" t="n"/>
      <c r="C30" s="48" t="n"/>
      <c r="D30" s="50" t="n"/>
      <c r="E30" s="50" t="n"/>
    </row>
    <row r="31">
      <c r="A31" s="48" t="n"/>
      <c r="B31" s="48" t="n"/>
      <c r="C31" s="48" t="n"/>
      <c r="D31" s="50" t="n"/>
      <c r="E31" s="50" t="n"/>
    </row>
    <row r="32">
      <c r="A32" s="48" t="n"/>
      <c r="B32" s="48" t="n"/>
      <c r="C32" s="48" t="n"/>
      <c r="D32" s="50" t="n"/>
      <c r="E32" s="50" t="n"/>
    </row>
    <row r="33">
      <c r="A33" s="48" t="n"/>
      <c r="B33" s="48" t="n"/>
      <c r="C33" s="48" t="n"/>
      <c r="D33" s="50" t="n"/>
      <c r="E33" s="50" t="n"/>
    </row>
    <row r="34">
      <c r="A34" s="48" t="n"/>
      <c r="B34" s="48" t="n"/>
      <c r="C34" s="48" t="n"/>
      <c r="D34" s="50" t="n"/>
      <c r="E34" s="50" t="n"/>
    </row>
    <row r="35">
      <c r="A35" s="48" t="n"/>
      <c r="B35" s="48" t="n"/>
      <c r="C35" s="48" t="n"/>
      <c r="D35" s="50" t="n"/>
      <c r="E35" s="50" t="n"/>
    </row>
    <row r="36">
      <c r="A36" s="48" t="n"/>
      <c r="B36" s="48" t="n"/>
      <c r="C36" s="48" t="n"/>
      <c r="D36" s="50" t="n"/>
      <c r="E36" s="50" t="n"/>
    </row>
    <row r="37">
      <c r="A37" s="48" t="n"/>
      <c r="B37" s="48" t="n"/>
      <c r="C37" s="48" t="n"/>
      <c r="D37" s="50" t="n"/>
      <c r="E37" s="50" t="n"/>
    </row>
    <row r="38">
      <c r="A38" s="48" t="n"/>
      <c r="B38" s="48" t="n"/>
      <c r="C38" s="48" t="n"/>
      <c r="D38" s="50" t="n"/>
      <c r="E38" s="50" t="n"/>
    </row>
    <row r="39">
      <c r="A39" s="48" t="n"/>
      <c r="B39" s="48" t="n"/>
      <c r="C39" s="48" t="n"/>
      <c r="D39" s="50" t="n"/>
      <c r="E39" s="50" t="n"/>
    </row>
    <row r="40">
      <c r="A40" s="48" t="n"/>
      <c r="B40" s="48" t="n"/>
      <c r="C40" s="48" t="n"/>
      <c r="D40" s="50" t="n"/>
      <c r="E40" s="50" t="n"/>
    </row>
    <row r="41">
      <c r="A41" s="48" t="n"/>
      <c r="B41" s="48" t="n"/>
      <c r="C41" s="48" t="n"/>
      <c r="D41" s="50" t="n"/>
      <c r="E41" s="50" t="n"/>
    </row>
    <row r="42">
      <c r="A42" s="48" t="n"/>
      <c r="B42" s="48" t="n"/>
      <c r="C42" s="48" t="n"/>
      <c r="D42" s="50" t="n"/>
      <c r="E42" s="50" t="n"/>
    </row>
    <row r="43">
      <c r="A43" s="48" t="n"/>
      <c r="B43" s="48" t="n"/>
      <c r="C43" s="48" t="n"/>
      <c r="D43" s="50" t="n"/>
      <c r="E43" s="50" t="n"/>
    </row>
    <row r="44">
      <c r="A44" s="48" t="n"/>
      <c r="B44" s="48" t="n"/>
      <c r="C44" s="48" t="n"/>
      <c r="D44" s="50" t="n"/>
      <c r="E44" s="50" t="n"/>
    </row>
  </sheetData>
  <mergeCells count="1">
    <mergeCell ref="A1:E1"/>
  </mergeCells>
  <dataValidations count="1">
    <dataValidation sqref="B5:B44" showDropDown="0" showInputMessage="0" showErrorMessage="1" allowBlank="1" errorTitle="Pick from list" error="Please choose a value from the dropdown (lists are maintained in MASTER DATA / CLIENT MASTER / CAMPAIGN MASTER)." type="list" errorStyle="stop">
      <formula1>=lst_AStatus</formula1>
    </dataValidation>
  </dataValidations>
  <pageMargins left="0.75" right="0.75" top="1" bottom="1" header="0.5" footer="0.5"/>
  <pageSetup orientation="landscape" fitToHeight="0" fitToWidth="1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tabColor rgb="007F7F7F"/>
    <outlinePr summaryBelow="1" summaryRight="1"/>
    <pageSetUpPr/>
  </sheetPr>
  <dimension ref="A1:H45"/>
  <sheetViews>
    <sheetView showGridLines="0" tabSelected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30" customWidth="1" min="2" max="2"/>
    <col width="22" customWidth="1" min="3" max="3"/>
    <col width="16" customWidth="1" min="4" max="4"/>
    <col width="16" customWidth="1" min="5" max="5"/>
    <col width="16" customWidth="1" min="6" max="6"/>
    <col width="14" customWidth="1" min="7" max="7"/>
    <col width="28" customWidth="1" min="8" max="8"/>
  </cols>
  <sheetData>
    <row r="1" ht="30" customHeight="1">
      <c r="A1" s="42" t="inlineStr">
        <is>
          <t>LISTS - team and dropdown options (manager updates)</t>
        </is>
      </c>
      <c r="B1" s="2" t="n"/>
      <c r="C1" s="2" t="n"/>
      <c r="D1" s="2" t="n"/>
      <c r="E1" s="2" t="n"/>
      <c r="F1" s="2" t="n"/>
      <c r="G1" s="2" t="n"/>
      <c r="H1" s="2" t="n"/>
    </row>
    <row r="2">
      <c r="A2" s="5" t="inlineStr">
        <is>
          <t>Add new items at the bottom of a list (no gaps). Clients are added on the CLIENTS sheet, campaigns on CAMPAIGNS.</t>
        </is>
      </c>
    </row>
    <row r="4">
      <c r="A4" s="56" t="inlineStr">
        <is>
          <t>Team Member</t>
        </is>
      </c>
      <c r="B4" s="56" t="inlineStr">
        <is>
          <t>Role</t>
        </is>
      </c>
      <c r="C4" s="56" t="inlineStr">
        <is>
          <t>Channel</t>
        </is>
      </c>
      <c r="D4" s="56" t="inlineStr">
        <is>
          <t>Campaign Status</t>
        </is>
      </c>
      <c r="E4" s="56" t="inlineStr">
        <is>
          <t>Program Status</t>
        </is>
      </c>
      <c r="F4" s="56" t="inlineStr">
        <is>
          <t>Client Status</t>
        </is>
      </c>
      <c r="G4" s="57" t="inlineStr">
        <is>
          <t>Month filter</t>
        </is>
      </c>
      <c r="H4" s="57" t="inlineStr">
        <is>
          <t>Client filter (auto)</t>
        </is>
      </c>
    </row>
    <row r="5">
      <c r="A5" s="58" t="inlineStr">
        <is>
          <t>Ayush Jain</t>
        </is>
      </c>
      <c r="B5" s="58" t="inlineStr">
        <is>
          <t>Program Manager</t>
        </is>
      </c>
      <c r="C5" s="58" t="inlineStr">
        <is>
          <t>Email</t>
        </is>
      </c>
      <c r="D5" s="58" t="inlineStr">
        <is>
          <t>Planned</t>
        </is>
      </c>
      <c r="E5" s="58" t="inlineStr">
        <is>
          <t>Not Started</t>
        </is>
      </c>
      <c r="F5" s="58" t="inlineStr">
        <is>
          <t>Active</t>
        </is>
      </c>
      <c r="G5" t="inlineStr">
        <is>
          <t>All</t>
        </is>
      </c>
      <c r="H5" t="inlineStr">
        <is>
          <t>All</t>
        </is>
      </c>
    </row>
    <row r="6">
      <c r="A6" s="58" t="inlineStr">
        <is>
          <t>Piyush Sambria</t>
        </is>
      </c>
      <c r="B6" s="58" t="inlineStr">
        <is>
          <t>Creative Lead</t>
        </is>
      </c>
      <c r="C6" s="58" t="inlineStr">
        <is>
          <t>Content Syndication</t>
        </is>
      </c>
      <c r="D6" s="58" t="inlineStr">
        <is>
          <t>Live</t>
        </is>
      </c>
      <c r="E6" s="58" t="inlineStr">
        <is>
          <t>In Progress</t>
        </is>
      </c>
      <c r="F6" s="58" t="inlineStr">
        <is>
          <t>Pipeline</t>
        </is>
      </c>
      <c r="G6" t="inlineStr">
        <is>
          <t>2025-01</t>
        </is>
      </c>
      <c r="H6" t="str">
        <f>IF(CLIENTS!A5="","",CLIENTS!A5)</f>
        <v>Chola MS</v>
      </c>
    </row>
    <row r="7">
      <c r="A7" s="58" t="inlineStr">
        <is>
          <t>Riya Diwan</t>
        </is>
      </c>
      <c r="B7" s="58" t="inlineStr">
        <is>
          <t>Program Execution Expert</t>
        </is>
      </c>
      <c r="C7" s="58" t="inlineStr">
        <is>
          <t>WhatsApp</t>
        </is>
      </c>
      <c r="D7" s="58" t="inlineStr">
        <is>
          <t>Paused</t>
        </is>
      </c>
      <c r="E7" s="58" t="inlineStr">
        <is>
          <t>Done</t>
        </is>
      </c>
      <c r="F7" s="58" t="inlineStr">
        <is>
          <t>Ended</t>
        </is>
      </c>
      <c r="G7" t="inlineStr">
        <is>
          <t>2025-02</t>
        </is>
      </c>
      <c r="H7" t="str">
        <f>IF(CLIENTS!A6="","",CLIENTS!A6)</f>
        <v>Magnasoft</v>
      </c>
    </row>
    <row r="8">
      <c r="A8" s="58" t="inlineStr">
        <is>
          <t>Surbhi Pandey</t>
        </is>
      </c>
      <c r="B8" s="58" t="inlineStr">
        <is>
          <t>Program Execution Expert</t>
        </is>
      </c>
      <c r="C8" s="58" t="inlineStr">
        <is>
          <t>LinkedIn Outreach</t>
        </is>
      </c>
      <c r="D8" s="58" t="inlineStr">
        <is>
          <t>Completed</t>
        </is>
      </c>
      <c r="E8" s="58" t="inlineStr">
        <is>
          <t>Blocked</t>
        </is>
      </c>
      <c r="F8" s="58" t="inlineStr">
        <is>
          <t>To Confirm</t>
        </is>
      </c>
      <c r="G8" t="inlineStr">
        <is>
          <t>2025-03</t>
        </is>
      </c>
      <c r="H8" t="str">
        <f>IF(CLIENTS!A7="","",CLIENTS!A7)</f>
        <v>Eternelle</v>
      </c>
    </row>
    <row r="9">
      <c r="A9" s="58" t="inlineStr">
        <is>
          <t>Rahul Sondhi</t>
        </is>
      </c>
      <c r="B9" s="58" t="inlineStr">
        <is>
          <t>Video Lead</t>
        </is>
      </c>
      <c r="C9" s="58" t="inlineStr">
        <is>
          <t>Google Ads</t>
        </is>
      </c>
      <c r="D9" s="58" t="n"/>
      <c r="E9" s="58" t="n"/>
      <c r="F9" s="58" t="n"/>
      <c r="G9" t="inlineStr">
        <is>
          <t>2025-04</t>
        </is>
      </c>
      <c r="H9" t="str">
        <f>IF(CLIENTS!A8="","",CLIENTS!A8)</f>
        <v>Vestrics</v>
      </c>
    </row>
    <row r="10">
      <c r="A10" s="58" t="inlineStr">
        <is>
          <t>Priyanshu</t>
        </is>
      </c>
      <c r="B10" s="58" t="inlineStr">
        <is>
          <t>Content Lead</t>
        </is>
      </c>
      <c r="C10" s="58" t="inlineStr">
        <is>
          <t>Meta Ads</t>
        </is>
      </c>
      <c r="D10" s="58" t="n"/>
      <c r="E10" s="58" t="n"/>
      <c r="F10" s="58" t="n"/>
      <c r="G10" t="inlineStr">
        <is>
          <t>2025-05</t>
        </is>
      </c>
      <c r="H10" t="str">
        <f>IF(CLIENTS!A9="","",CLIENTS!A9)</f>
        <v>Lenovo</v>
      </c>
    </row>
    <row r="11">
      <c r="A11" s="58" t="inlineStr">
        <is>
          <t>Richi Bagla</t>
        </is>
      </c>
      <c r="B11" s="58" t="inlineStr">
        <is>
          <t>Paid Ads Specialist / Program Manager</t>
        </is>
      </c>
      <c r="C11" s="58" t="inlineStr">
        <is>
          <t>LinkedIn Ads</t>
        </is>
      </c>
      <c r="D11" s="58" t="n"/>
      <c r="E11" s="58" t="n"/>
      <c r="F11" s="58" t="n"/>
      <c r="G11" t="inlineStr">
        <is>
          <t>2025-06</t>
        </is>
      </c>
      <c r="H11" t="str">
        <f>IF(CLIENTS!A10="","",CLIENTS!A10)</f>
        <v>SAP</v>
      </c>
    </row>
    <row r="12">
      <c r="A12" s="58" t="inlineStr">
        <is>
          <t>Kapil Chadha</t>
        </is>
      </c>
      <c r="B12" s="58" t="inlineStr">
        <is>
          <t>Consultant - SEO</t>
        </is>
      </c>
      <c r="C12" s="58" t="inlineStr">
        <is>
          <t>SEO</t>
        </is>
      </c>
      <c r="D12" s="58" t="n"/>
      <c r="E12" s="58" t="n"/>
      <c r="F12" s="58" t="n"/>
      <c r="G12" t="inlineStr">
        <is>
          <t>2025-07</t>
        </is>
      </c>
      <c r="H12" t="str">
        <f>IF(CLIENTS!A11="","",CLIENTS!A11)</f>
        <v>Tata Communications</v>
      </c>
    </row>
    <row r="13">
      <c r="A13" s="58" t="n"/>
      <c r="B13" s="58" t="n"/>
      <c r="C13" s="58" t="inlineStr">
        <is>
          <t>Social Media</t>
        </is>
      </c>
      <c r="D13" s="58" t="n"/>
      <c r="E13" s="58" t="n"/>
      <c r="F13" s="58" t="n"/>
      <c r="G13" t="inlineStr">
        <is>
          <t>2025-08</t>
        </is>
      </c>
      <c r="H13" t="str">
        <f>IF(CLIENTS!A12="","",CLIENTS!A12)</f>
        <v>Tata Communications MECCA</v>
      </c>
    </row>
    <row r="14">
      <c r="A14" s="58" t="n"/>
      <c r="B14" s="58" t="n"/>
      <c r="C14" s="58" t="inlineStr">
        <is>
          <t>Website</t>
        </is>
      </c>
      <c r="D14" s="58" t="n"/>
      <c r="E14" s="58" t="n"/>
      <c r="F14" s="58" t="n"/>
      <c r="G14" t="inlineStr">
        <is>
          <t>2025-09</t>
        </is>
      </c>
      <c r="H14" t="str">
        <f>IF(CLIENTS!A13="","",CLIENTS!A13)</f>
        <v>Salesforce</v>
      </c>
    </row>
    <row r="15">
      <c r="A15" s="58" t="n"/>
      <c r="B15" s="58" t="n"/>
      <c r="C15" s="58" t="inlineStr">
        <is>
          <t>Multi-channel</t>
        </is>
      </c>
      <c r="G15" t="inlineStr">
        <is>
          <t>2025-10</t>
        </is>
      </c>
      <c r="H15" t="str">
        <f>IF(CLIENTS!A14="","",CLIENTS!A14)</f>
        <v>Ruckus Networks</v>
      </c>
    </row>
    <row r="16">
      <c r="A16" s="58" t="n"/>
      <c r="B16" s="58" t="n"/>
      <c r="C16" s="58" t="inlineStr">
        <is>
          <t>Other</t>
        </is>
      </c>
      <c r="G16" t="inlineStr">
        <is>
          <t>2025-11</t>
        </is>
      </c>
      <c r="H16" t="str">
        <f>IF(CLIENTS!A15="","",CLIENTS!A15)</f>
        <v>Google Chrome Enterprise</v>
      </c>
    </row>
    <row r="17">
      <c r="A17" s="58" t="n"/>
      <c r="B17" s="58" t="n"/>
      <c r="C17" s="58" t="n"/>
      <c r="G17" t="inlineStr">
        <is>
          <t>2025-12</t>
        </is>
      </c>
      <c r="H17" t="str">
        <f>IF(CLIENTS!A16="","",CLIENTS!A16)</f>
        <v>Equinix</v>
      </c>
    </row>
    <row r="18">
      <c r="A18" s="58" t="n"/>
      <c r="B18" s="58" t="n"/>
      <c r="C18" s="58" t="n"/>
      <c r="G18" t="inlineStr">
        <is>
          <t>2026-01</t>
        </is>
      </c>
      <c r="H18" t="str">
        <f>IF(CLIENTS!A17="","",CLIENTS!A17)</f>
        <v>Sonalika Tractors</v>
      </c>
    </row>
    <row r="19">
      <c r="A19" s="58" t="n"/>
      <c r="B19" s="58" t="n"/>
      <c r="C19" s="58" t="n"/>
      <c r="G19" t="inlineStr">
        <is>
          <t>2026-02</t>
        </is>
      </c>
      <c r="H19" t="str">
        <f>IF(CLIENTS!A18="","",CLIENTS!A18)</f>
        <v>AMEX</v>
      </c>
    </row>
    <row r="20">
      <c r="A20" s="58" t="n"/>
      <c r="B20" s="58" t="n"/>
      <c r="C20" s="58" t="n"/>
      <c r="G20" t="inlineStr">
        <is>
          <t>2026-03</t>
        </is>
      </c>
      <c r="H20" t="str">
        <f>IF(CLIENTS!A19="","",CLIENTS!A19)</f>
        <v>Marg Business Transformation</v>
      </c>
    </row>
    <row r="21">
      <c r="A21" s="58" t="n"/>
      <c r="B21" s="58" t="n"/>
      <c r="C21" s="58" t="n"/>
      <c r="G21" t="inlineStr">
        <is>
          <t>2026-04</t>
        </is>
      </c>
      <c r="H21" t="str">
        <f>IF(CLIENTS!A20="","",CLIENTS!A20)</f>
        <v>Utimaco Singapore</v>
      </c>
    </row>
    <row r="22">
      <c r="A22" s="58" t="n"/>
      <c r="B22" s="58" t="n"/>
      <c r="C22" s="58" t="n"/>
      <c r="G22" t="inlineStr">
        <is>
          <t>2026-05</t>
        </is>
      </c>
      <c r="H22" t="str">
        <f>IF(CLIENTS!A21="","",CLIENTS!A21)</f>
        <v/>
      </c>
    </row>
    <row r="23">
      <c r="A23" s="58" t="n"/>
      <c r="B23" s="58" t="n"/>
      <c r="C23" s="58" t="n"/>
      <c r="G23" t="inlineStr">
        <is>
          <t>2026-06</t>
        </is>
      </c>
      <c r="H23" t="str">
        <f>IF(CLIENTS!A22="","",CLIENTS!A22)</f>
        <v/>
      </c>
    </row>
    <row r="24">
      <c r="A24" s="58" t="n"/>
      <c r="B24" s="58" t="n"/>
      <c r="C24" s="58" t="n"/>
      <c r="G24" t="inlineStr">
        <is>
          <t>2026-07</t>
        </is>
      </c>
      <c r="H24" t="str">
        <f>IF(CLIENTS!A23="","",CLIENTS!A23)</f>
        <v/>
      </c>
    </row>
    <row r="25">
      <c r="C25" s="58" t="n"/>
      <c r="G25" t="inlineStr">
        <is>
          <t>2026-08</t>
        </is>
      </c>
      <c r="H25" t="str">
        <f>IF(CLIENTS!A24="","",CLIENTS!A24)</f>
        <v/>
      </c>
    </row>
    <row r="26">
      <c r="C26" s="58" t="n"/>
      <c r="G26" t="inlineStr">
        <is>
          <t>2026-09</t>
        </is>
      </c>
      <c r="H26" t="str">
        <f>IF(CLIENTS!A25="","",CLIENTS!A25)</f>
        <v/>
      </c>
    </row>
    <row r="27">
      <c r="C27" s="58" t="n"/>
      <c r="G27" t="inlineStr">
        <is>
          <t>2026-10</t>
        </is>
      </c>
      <c r="H27" t="str">
        <f>IF(CLIENTS!A26="","",CLIENTS!A26)</f>
        <v/>
      </c>
    </row>
    <row r="28">
      <c r="C28" s="58" t="n"/>
      <c r="G28" t="inlineStr">
        <is>
          <t>2026-11</t>
        </is>
      </c>
      <c r="H28" t="str">
        <f>IF(CLIENTS!A27="","",CLIENTS!A27)</f>
        <v/>
      </c>
    </row>
    <row r="29">
      <c r="C29" s="58" t="n"/>
      <c r="G29" t="inlineStr">
        <is>
          <t>2026-12</t>
        </is>
      </c>
      <c r="H29" t="str">
        <f>IF(CLIENTS!A28="","",CLIENTS!A28)</f>
        <v/>
      </c>
    </row>
    <row r="30">
      <c r="C30" s="58" t="n"/>
      <c r="G30" t="inlineStr">
        <is>
          <t>2027-01</t>
        </is>
      </c>
      <c r="H30" t="str">
        <f>IF(CLIENTS!A29="","",CLIENTS!A29)</f>
        <v/>
      </c>
    </row>
    <row r="31">
      <c r="C31" s="58" t="n"/>
      <c r="G31" t="inlineStr">
        <is>
          <t>2027-02</t>
        </is>
      </c>
      <c r="H31" t="str">
        <f>IF(CLIENTS!A30="","",CLIENTS!A30)</f>
        <v/>
      </c>
    </row>
    <row r="32">
      <c r="C32" s="58" t="n"/>
      <c r="G32" t="inlineStr">
        <is>
          <t>2027-03</t>
        </is>
      </c>
      <c r="H32" t="str">
        <f>IF(CLIENTS!A31="","",CLIENTS!A31)</f>
        <v/>
      </c>
    </row>
    <row r="33">
      <c r="C33" s="58" t="n"/>
      <c r="G33" t="inlineStr">
        <is>
          <t>2027-04</t>
        </is>
      </c>
      <c r="H33" t="str">
        <f>IF(CLIENTS!A32="","",CLIENTS!A32)</f>
        <v/>
      </c>
    </row>
    <row r="34">
      <c r="C34" s="58" t="n"/>
      <c r="G34" t="inlineStr">
        <is>
          <t>2027-05</t>
        </is>
      </c>
      <c r="H34" t="str">
        <f>IF(CLIENTS!A33="","",CLIENTS!A33)</f>
        <v/>
      </c>
    </row>
    <row r="35">
      <c r="G35" t="inlineStr">
        <is>
          <t>2027-06</t>
        </is>
      </c>
      <c r="H35" t="str">
        <f>IF(CLIENTS!A34="","",CLIENTS!A34)</f>
        <v/>
      </c>
    </row>
    <row r="36">
      <c r="G36" t="inlineStr">
        <is>
          <t>2027-07</t>
        </is>
      </c>
      <c r="H36" t="str">
        <f>IF(CLIENTS!A35="","",CLIENTS!A35)</f>
        <v/>
      </c>
    </row>
    <row r="37">
      <c r="G37" t="inlineStr">
        <is>
          <t>2027-08</t>
        </is>
      </c>
      <c r="H37" t="str">
        <f>IF(CLIENTS!A36="","",CLIENTS!A36)</f>
        <v/>
      </c>
    </row>
    <row r="38">
      <c r="G38" t="inlineStr">
        <is>
          <t>2027-09</t>
        </is>
      </c>
      <c r="H38" t="str">
        <f>IF(CLIENTS!A37="","",CLIENTS!A37)</f>
        <v/>
      </c>
    </row>
    <row r="39">
      <c r="G39" t="inlineStr">
        <is>
          <t>2027-10</t>
        </is>
      </c>
      <c r="H39" t="str">
        <f>IF(CLIENTS!A38="","",CLIENTS!A38)</f>
        <v/>
      </c>
    </row>
    <row r="40">
      <c r="G40" t="inlineStr">
        <is>
          <t>2027-11</t>
        </is>
      </c>
      <c r="H40" t="str">
        <f>IF(CLIENTS!A39="","",CLIENTS!A39)</f>
        <v/>
      </c>
    </row>
    <row r="41">
      <c r="G41" t="inlineStr">
        <is>
          <t>2027-12</t>
        </is>
      </c>
      <c r="H41" t="str">
        <f>IF(CLIENTS!A40="","",CLIENTS!A40)</f>
        <v/>
      </c>
    </row>
    <row r="42">
      <c r="H42" t="str">
        <f>IF(CLIENTS!A41="","",CLIENTS!A41)</f>
        <v/>
      </c>
    </row>
    <row r="43">
      <c r="H43" t="str">
        <f>IF(CLIENTS!A42="","",CLIENTS!A42)</f>
        <v/>
      </c>
    </row>
    <row r="44">
      <c r="H44" t="str">
        <f>IF(CLIENTS!A43="","",CLIENTS!A43)</f>
        <v/>
      </c>
    </row>
    <row r="45">
      <c r="H45" t="str">
        <f>IF(CLIENTS!A44="","",CLIENTS!A44)</f>
        <v/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2026-10-05T06:56:33Z</dcterms:created>
  <dcterms:modified xmlns:dcterms="http://purl.org/dc/terms/" xmlns:xsi="http://www.w3.org/2001/XMLSchema-instance" xsi:type="dcterms:W3CDTF">2026-10-05T06:56:35Z</dcterms:modified>
</cp:coreProperties>
</file>